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lphabrotherscorp-my.sharepoint.com/personal/sym_alphabrothers_co_kr/Documents/바탕 화면/송영민/1. 작업폴더/0. 2026년/19. 우유곳간 시장검증 마케팅 견적서/"/>
    </mc:Choice>
  </mc:AlternateContent>
  <xr:revisionPtr revIDLastSave="22" documentId="8_{EF2C04EA-B72E-4BA2-A177-369122AE4CE4}" xr6:coauthVersionLast="47" xr6:coauthVersionMax="47" xr10:uidLastSave="{381662A2-EABB-4A5E-94E7-EB9934B3BACA}"/>
  <bookViews>
    <workbookView xWindow="34452" yWindow="-108" windowWidth="46296" windowHeight="25416" xr2:uid="{00000000-000D-0000-FFFF-FFFF00000000}"/>
  </bookViews>
  <sheets>
    <sheet name="마케팅 (2)" sheetId="5" r:id="rId1"/>
    <sheet name="마케팅 단가표" sheetId="4" r:id="rId2"/>
    <sheet name="시장검증 단가표" sheetId="3" r:id="rId3"/>
    <sheet name="시장검증" sheetId="1" r:id="rId4"/>
    <sheet name="마케팅" sheetId="2" r:id="rId5"/>
  </sheets>
  <definedNames>
    <definedName name="_xlnm.Print_Area" localSheetId="4">마케팅!$A$1:$K$39</definedName>
    <definedName name="_xlnm.Print_Area" localSheetId="0">'마케팅 (2)'!$A$1:$K$27</definedName>
    <definedName name="_xlnm.Print_Area" localSheetId="1">'마케팅 단가표'!$A$1:$K$25</definedName>
    <definedName name="_xlnm.Print_Area" localSheetId="3">시장검증!$A$1:$L$34</definedName>
    <definedName name="_xlnm.Print_Area" localSheetId="2">'시장검증 단가표'!$A$1:$K$25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5" l="1"/>
  <c r="H20" i="5"/>
  <c r="H21" i="5" s="1"/>
  <c r="H10" i="5" s="1"/>
  <c r="K22" i="4"/>
  <c r="I22" i="4"/>
  <c r="K21" i="4"/>
  <c r="I21" i="4"/>
  <c r="K19" i="4"/>
  <c r="I19" i="4"/>
  <c r="K18" i="4"/>
  <c r="I18" i="4"/>
  <c r="K16" i="4"/>
  <c r="I16" i="4"/>
  <c r="K15" i="4"/>
  <c r="I15" i="4"/>
  <c r="K14" i="4"/>
  <c r="I14" i="4"/>
  <c r="K12" i="4"/>
  <c r="I12" i="4"/>
  <c r="K11" i="4"/>
  <c r="I11" i="4"/>
  <c r="K10" i="4"/>
  <c r="I10" i="4"/>
  <c r="I22" i="3"/>
  <c r="I21" i="3"/>
  <c r="I19" i="3"/>
  <c r="I18" i="3"/>
  <c r="I16" i="3"/>
  <c r="I15" i="3"/>
  <c r="I14" i="3"/>
  <c r="K22" i="3"/>
  <c r="K21" i="3"/>
  <c r="K19" i="3"/>
  <c r="K18" i="3"/>
  <c r="K16" i="3"/>
  <c r="K15" i="3"/>
  <c r="K14" i="3"/>
  <c r="K12" i="3"/>
  <c r="K11" i="3"/>
  <c r="K10" i="3"/>
  <c r="I11" i="3"/>
  <c r="I12" i="3"/>
  <c r="I10" i="3"/>
  <c r="H31" i="2"/>
  <c r="H24" i="2"/>
  <c r="H30" i="2"/>
  <c r="H29" i="2"/>
  <c r="H23" i="2"/>
  <c r="H22" i="2"/>
  <c r="H21" i="2"/>
  <c r="H27" i="2"/>
  <c r="H26" i="2"/>
  <c r="H25" i="2"/>
  <c r="H19" i="2"/>
  <c r="H18" i="2"/>
  <c r="H17" i="2"/>
  <c r="H16" i="2"/>
  <c r="H20" i="2" l="1"/>
  <c r="H28" i="2"/>
  <c r="H15" i="2"/>
  <c r="H32" i="2" l="1"/>
  <c r="H33" i="2" s="1"/>
  <c r="H10" i="2" s="1"/>
  <c r="I19" i="1"/>
  <c r="I18" i="1"/>
  <c r="I17" i="1"/>
  <c r="I15" i="1"/>
  <c r="I24" i="1"/>
  <c r="I16" i="1"/>
  <c r="I23" i="1"/>
  <c r="I25" i="1"/>
  <c r="I22" i="1"/>
  <c r="I21" i="1" l="1"/>
  <c r="I26" i="1" l="1"/>
  <c r="I27" i="1" s="1"/>
  <c r="I28" i="1" s="1"/>
  <c r="I10" i="1" s="1"/>
</calcChain>
</file>

<file path=xl/sharedStrings.xml><?xml version="1.0" encoding="utf-8"?>
<sst xmlns="http://schemas.openxmlformats.org/spreadsheetml/2006/main" count="223" uniqueCount="100">
  <si>
    <t>비고</t>
    <phoneticPr fontId="2" type="noConversion"/>
  </si>
  <si>
    <t>금액</t>
    <phoneticPr fontId="2" type="noConversion"/>
  </si>
  <si>
    <t>원정 (VAT 포함)</t>
    <phoneticPr fontId="2" type="noConversion"/>
  </si>
  <si>
    <t>항 목</t>
    <phoneticPr fontId="2" type="noConversion"/>
  </si>
  <si>
    <t>단가 (원)</t>
    <phoneticPr fontId="2" type="noConversion"/>
  </si>
  <si>
    <t>총 합계 (합계+부가가치세)</t>
    <phoneticPr fontId="2" type="noConversion"/>
  </si>
  <si>
    <t>비고</t>
  </si>
  <si>
    <t>사업자 등록번호</t>
    <phoneticPr fontId="2" type="noConversion"/>
  </si>
  <si>
    <t>김 재 훈</t>
    <phoneticPr fontId="2" type="noConversion"/>
  </si>
  <si>
    <t>주식회사 테스티파이</t>
    <phoneticPr fontId="2" type="noConversion"/>
  </si>
  <si>
    <t>262-87-02742</t>
    <phoneticPr fontId="2" type="noConversion"/>
  </si>
  <si>
    <t>010-9003-6838</t>
    <phoneticPr fontId="2" type="noConversion"/>
  </si>
  <si>
    <t>2.  제작 결과물은 주식회사 테스티파이의 포트폴리오로 활용될 수 있음</t>
    <phoneticPr fontId="2" type="noConversion"/>
  </si>
  <si>
    <t>3. 가격의 외부 유출 금지</t>
    <phoneticPr fontId="2" type="noConversion"/>
  </si>
  <si>
    <t>충청북도 청주시 청원구 오창읍 오창중앙로 123-12, 1동 4층 402호 B31호</t>
    <phoneticPr fontId="2" type="noConversion"/>
  </si>
  <si>
    <t>연락처</t>
    <phoneticPr fontId="2" type="noConversion"/>
  </si>
  <si>
    <t>이메일</t>
    <phoneticPr fontId="2" type="noConversion"/>
  </si>
  <si>
    <t>대표자</t>
    <phoneticPr fontId="2" type="noConversion"/>
  </si>
  <si>
    <t>상호명</t>
    <phoneticPr fontId="2" type="noConversion"/>
  </si>
  <si>
    <t>견    적    서</t>
  </si>
  <si>
    <t>아래와 같이 견적합니다.</t>
    <phoneticPr fontId="2" type="noConversion"/>
  </si>
  <si>
    <t>공급가액(원)</t>
    <phoneticPr fontId="2" type="noConversion"/>
  </si>
  <si>
    <t>부가가치세 (10%)</t>
    <phoneticPr fontId="2" type="noConversion"/>
  </si>
  <si>
    <t>(인)</t>
    <phoneticPr fontId="2" type="noConversion"/>
  </si>
  <si>
    <t>사업장 주소</t>
    <phoneticPr fontId="2" type="noConversion"/>
  </si>
  <si>
    <t>합계</t>
    <phoneticPr fontId="2" type="noConversion"/>
  </si>
  <si>
    <t>작업일</t>
    <phoneticPr fontId="2" type="noConversion"/>
  </si>
  <si>
    <t>수량</t>
    <phoneticPr fontId="2" type="noConversion"/>
  </si>
  <si>
    <t>kjh@testipie.com</t>
    <phoneticPr fontId="2" type="noConversion"/>
  </si>
  <si>
    <t>1. 본 견적서는 작성일로부터 14일간 유효함</t>
    <phoneticPr fontId="2" type="noConversion"/>
  </si>
  <si>
    <t>2026년</t>
    <phoneticPr fontId="2" type="noConversion"/>
  </si>
  <si>
    <t>시장성 테스트</t>
    <phoneticPr fontId="2" type="noConversion"/>
  </si>
  <si>
    <t>BM 진단 및 고도화</t>
    <phoneticPr fontId="2" type="noConversion"/>
  </si>
  <si>
    <t>결과 리포트 제공</t>
    <phoneticPr fontId="2" type="noConversion"/>
  </si>
  <si>
    <t>㈜미구 귀하</t>
    <phoneticPr fontId="2" type="noConversion"/>
  </si>
  <si>
    <t>설문형 시장검증</t>
    <phoneticPr fontId="2" type="noConversion"/>
  </si>
  <si>
    <t>설문 설계</t>
    <phoneticPr fontId="2" type="noConversion"/>
  </si>
  <si>
    <t>설문 데이터 가공 및 시각화</t>
    <phoneticPr fontId="2" type="noConversion"/>
  </si>
  <si>
    <t>MVP 광고안 기획 및 제작</t>
    <phoneticPr fontId="2" type="noConversion"/>
  </si>
  <si>
    <r>
      <t xml:space="preserve">설문응답자 모집 및 운영
</t>
    </r>
    <r>
      <rPr>
        <sz val="8"/>
        <rFont val="맑은 고딕"/>
        <family val="3"/>
        <charset val="129"/>
      </rPr>
      <t>*설문응답 리워드 포함</t>
    </r>
    <phoneticPr fontId="2" type="noConversion"/>
  </si>
  <si>
    <t>3월</t>
    <phoneticPr fontId="2" type="noConversion"/>
  </si>
  <si>
    <t>24일</t>
    <phoneticPr fontId="2" type="noConversion"/>
  </si>
  <si>
    <t>정량 데이터 시계열 분석</t>
    <phoneticPr fontId="2" type="noConversion"/>
  </si>
  <si>
    <t>정량 데이터 클러스터 분석</t>
    <phoneticPr fontId="2" type="noConversion"/>
  </si>
  <si>
    <t>용역명: 정량, 정성 데이터 기반 시장 검증 용역</t>
    <phoneticPr fontId="2" type="noConversion"/>
  </si>
  <si>
    <t>온라인 광고</t>
    <phoneticPr fontId="2" type="noConversion"/>
  </si>
  <si>
    <t>마케팅 전략안</t>
    <phoneticPr fontId="2" type="noConversion"/>
  </si>
  <si>
    <t>USP 설정 및 제안</t>
    <phoneticPr fontId="2" type="noConversion"/>
  </si>
  <si>
    <t>이미지형 광고 소재 제작</t>
    <phoneticPr fontId="2" type="noConversion"/>
  </si>
  <si>
    <t>Meta 광고 세팅 및 운영</t>
    <phoneticPr fontId="2" type="noConversion"/>
  </si>
  <si>
    <t>SEO 마케팅</t>
    <phoneticPr fontId="2" type="noConversion"/>
  </si>
  <si>
    <t>SEO 키워드 분석 및 제안</t>
    <phoneticPr fontId="2" type="noConversion"/>
  </si>
  <si>
    <t>테크니컬 SEO, 최적화</t>
    <phoneticPr fontId="2" type="noConversion"/>
  </si>
  <si>
    <t>SEO 성능 측정 및 보고</t>
    <phoneticPr fontId="2" type="noConversion"/>
  </si>
  <si>
    <t>자사몰 데이터 세팅</t>
    <phoneticPr fontId="2" type="noConversion"/>
  </si>
  <si>
    <t>자사몰 데이터 연결</t>
    <phoneticPr fontId="2" type="noConversion"/>
  </si>
  <si>
    <t>GA4, GTM 데이터 연결</t>
    <phoneticPr fontId="2" type="noConversion"/>
  </si>
  <si>
    <t>대시보드 구축 및 데이터 시각화</t>
    <phoneticPr fontId="2" type="noConversion"/>
  </si>
  <si>
    <t>그로스해킹</t>
    <phoneticPr fontId="2" type="noConversion"/>
  </si>
  <si>
    <t>주간단위 데이터 분석</t>
    <phoneticPr fontId="2" type="noConversion"/>
  </si>
  <si>
    <t>주간단위 액션플랜 수행</t>
    <phoneticPr fontId="2" type="noConversion"/>
  </si>
  <si>
    <t>용역명: 그로스해킹 마케팅 대행 용역</t>
    <phoneticPr fontId="2" type="noConversion"/>
  </si>
  <si>
    <t>시장검증 단가표</t>
    <phoneticPr fontId="20" type="noConversion"/>
  </si>
  <si>
    <t>시장검증 용역 단가표 및 산정 규정</t>
    <phoneticPr fontId="20" type="noConversion"/>
  </si>
  <si>
    <t>내용</t>
    <phoneticPr fontId="20" type="noConversion"/>
  </si>
  <si>
    <t>본 견적은 투입 인력의 M/H(Man-Hour, 시간당 단가)를 근거로 산정되었습니다.</t>
    <phoneticPr fontId="2" type="noConversion"/>
  </si>
  <si>
    <t>비즈니스 및 산업의 난이도, 기업의 세부 요구사항에 따라 실제 투입되는 M/H가 상이할 수 있으므로, 
최종 견적은 '최소 견적'과 '최대 견적' 사이에서 변동될 수 있습니다.</t>
    <phoneticPr fontId="2" type="noConversion"/>
  </si>
  <si>
    <t>M/H 단가의 기준은 한국소프트웨어산업협회의 '2025년 적용 SW기술자 평균임금' 및 
한국디자인산업연합회의 '2025년 디자이너 등급별 노임단가'를 준용하였습니다.</t>
    <phoneticPr fontId="2" type="noConversion"/>
  </si>
  <si>
    <t>최소 견적(원)</t>
    <phoneticPr fontId="2" type="noConversion"/>
  </si>
  <si>
    <t>최대 견적(원)</t>
    <phoneticPr fontId="2" type="noConversion"/>
  </si>
  <si>
    <t>업무명</t>
    <phoneticPr fontId="2" type="noConversion"/>
  </si>
  <si>
    <t>투입 기술자</t>
    <phoneticPr fontId="2" type="noConversion"/>
  </si>
  <si>
    <t>시장성 테스트</t>
    <phoneticPr fontId="20" type="noConversion"/>
  </si>
  <si>
    <t>설문응답자 모집 및 운영</t>
    <phoneticPr fontId="2" type="noConversion"/>
  </si>
  <si>
    <t>(실비) 설문 응답자 리워드</t>
    <phoneticPr fontId="2" type="noConversion"/>
  </si>
  <si>
    <r>
      <t xml:space="preserve">IT </t>
    </r>
    <r>
      <rPr>
        <sz val="10"/>
        <rFont val="맑은 고딕"/>
        <family val="2"/>
        <charset val="129"/>
      </rPr>
      <t>컨설턴트</t>
    </r>
    <phoneticPr fontId="20" type="noConversion"/>
  </si>
  <si>
    <r>
      <t xml:space="preserve">IT </t>
    </r>
    <r>
      <rPr>
        <sz val="10"/>
        <rFont val="맑은 고딕"/>
        <family val="2"/>
        <charset val="129"/>
      </rPr>
      <t>마케터</t>
    </r>
    <phoneticPr fontId="20" type="noConversion"/>
  </si>
  <si>
    <t>데이터 분석가</t>
    <phoneticPr fontId="20" type="noConversion"/>
  </si>
  <si>
    <t>(실비)Meta 광고 미디어 비용</t>
    <phoneticPr fontId="20" type="noConversion"/>
  </si>
  <si>
    <t>정량 데이터 분석</t>
    <phoneticPr fontId="2" type="noConversion"/>
  </si>
  <si>
    <t>IT 기획자</t>
    <phoneticPr fontId="20" type="noConversion"/>
  </si>
  <si>
    <t>기준 투입시간(H)</t>
    <phoneticPr fontId="20" type="noConversion"/>
  </si>
  <si>
    <t>IT테스터</t>
    <phoneticPr fontId="20" type="noConversion"/>
  </si>
  <si>
    <t>설문형 시장검증</t>
    <phoneticPr fontId="20" type="noConversion"/>
  </si>
  <si>
    <r>
      <rPr>
        <sz val="10"/>
        <rFont val="맑은 고딕"/>
        <family val="2"/>
        <charset val="129"/>
      </rPr>
      <t>시각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디자이너(초급)</t>
    </r>
    <phoneticPr fontId="20" type="noConversion"/>
  </si>
  <si>
    <t>Meta 광고 운영(1개월)</t>
    <phoneticPr fontId="20" type="noConversion"/>
  </si>
  <si>
    <t>시간당 단가(원)</t>
    <phoneticPr fontId="20" type="noConversion"/>
  </si>
  <si>
    <r>
      <t>*</t>
    </r>
    <r>
      <rPr>
        <sz val="8"/>
        <rFont val="맑은 고딕"/>
        <family val="2"/>
        <charset val="129"/>
      </rPr>
      <t>실비의 경우 최소 견적을 기준으로 수량과 기간에 따라 상이함</t>
    </r>
    <phoneticPr fontId="20" type="noConversion"/>
  </si>
  <si>
    <t>-</t>
    <phoneticPr fontId="20" type="noConversion"/>
  </si>
  <si>
    <t>본 단가표는 2026년을 기준으로 작성되었습니다.</t>
    <phoneticPr fontId="20" type="noConversion"/>
  </si>
  <si>
    <t>절삭</t>
    <phoneticPr fontId="2" type="noConversion"/>
  </si>
  <si>
    <t>투입시간(H)</t>
  </si>
  <si>
    <t>카카오 톡스토어 광고 대행</t>
    <phoneticPr fontId="2" type="noConversion"/>
  </si>
  <si>
    <t>전략 기획</t>
    <phoneticPr fontId="2" type="noConversion"/>
  </si>
  <si>
    <t>광고 운영</t>
    <phoneticPr fontId="2" type="noConversion"/>
  </si>
  <si>
    <t>결과 보고</t>
    <phoneticPr fontId="2" type="noConversion"/>
  </si>
  <si>
    <t>용역명: 카카오 톡스토어 광고 대행</t>
    <phoneticPr fontId="2" type="noConversion"/>
  </si>
  <si>
    <t>우유곳간 귀하</t>
    <phoneticPr fontId="2" type="noConversion"/>
  </si>
  <si>
    <t>7월</t>
    <phoneticPr fontId="2" type="noConversion"/>
  </si>
  <si>
    <t>09일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</si>
</sst>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&quot;명&quot;"/>
    <numFmt numFmtId="177" formatCode="#0.0&quot;개월&quot;"/>
  </numFmts>
  <fonts count="27">
    <font>
      <sz val="12"/>
      <name val="바탕체"/>
      <family val="1"/>
      <charset val="129"/>
    </font>
    <font>
      <sz val="12"/>
      <name val="바탕체"/>
      <family val="1"/>
      <charset val="129"/>
    </font>
    <font>
      <sz val="8"/>
      <name val="바탕"/>
      <family val="1"/>
      <charset val="129"/>
    </font>
    <font>
      <u/>
      <sz val="12"/>
      <color theme="10"/>
      <name val="바탕체"/>
      <family val="1"/>
      <charset val="129"/>
    </font>
    <font>
      <sz val="10"/>
      <name val="맑은 고딕"/>
      <family val="2"/>
      <charset val="129"/>
    </font>
    <font>
      <b/>
      <sz val="12"/>
      <name val="맑은 고딕"/>
      <family val="2"/>
      <charset val="129"/>
    </font>
    <font>
      <sz val="12"/>
      <name val="맑은 고딕"/>
      <family val="2"/>
      <charset val="129"/>
    </font>
    <font>
      <sz val="9"/>
      <name val="맑은 고딕"/>
      <family val="2"/>
      <charset val="129"/>
    </font>
    <font>
      <b/>
      <sz val="33"/>
      <name val="맑은 고딕"/>
      <family val="2"/>
      <charset val="129"/>
    </font>
    <font>
      <b/>
      <u/>
      <sz val="14"/>
      <name val="맑은 고딕"/>
      <family val="2"/>
      <charset val="129"/>
    </font>
    <font>
      <sz val="18"/>
      <name val="맑은 고딕"/>
      <family val="2"/>
      <charset val="129"/>
    </font>
    <font>
      <sz val="14"/>
      <name val="맑은 고딕"/>
      <family val="2"/>
      <charset val="129"/>
    </font>
    <font>
      <b/>
      <sz val="14"/>
      <name val="맑은 고딕"/>
      <family val="2"/>
      <charset val="129"/>
    </font>
    <font>
      <b/>
      <sz val="10"/>
      <name val="맑은 고딕"/>
      <family val="2"/>
      <charset val="129"/>
    </font>
    <font>
      <sz val="8"/>
      <name val="맑은 고딕"/>
      <family val="2"/>
      <charset val="129"/>
    </font>
    <font>
      <sz val="14"/>
      <color rgb="FF000000"/>
      <name val="맑은 고딕"/>
      <family val="2"/>
      <charset val="129"/>
    </font>
    <font>
      <sz val="10"/>
      <name val="맑은 고딕 (본문)"/>
      <family val="3"/>
      <charset val="129"/>
    </font>
    <font>
      <u/>
      <sz val="10"/>
      <color theme="10"/>
      <name val="맑은 고딕 (본문)"/>
      <family val="3"/>
      <charset val="129"/>
    </font>
    <font>
      <b/>
      <sz val="10"/>
      <name val="맑은 고딕"/>
      <family val="3"/>
      <charset val="129"/>
    </font>
    <font>
      <sz val="8"/>
      <name val="맑은 고딕"/>
      <family val="3"/>
      <charset val="129"/>
    </font>
    <font>
      <sz val="8"/>
      <name val="바탕체"/>
      <family val="1"/>
      <charset val="129"/>
    </font>
    <font>
      <b/>
      <sz val="12"/>
      <name val="맑은 고딕"/>
      <family val="3"/>
      <charset val="129"/>
    </font>
    <font>
      <b/>
      <sz val="20"/>
      <name val="맑은 고딕"/>
      <family val="3"/>
      <charset val="129"/>
    </font>
    <font>
      <sz val="9"/>
      <name val="맑은 고딕"/>
      <family val="3"/>
      <charset val="129"/>
    </font>
    <font>
      <sz val="10"/>
      <name val="Arial"/>
      <family val="2"/>
    </font>
    <font>
      <sz val="10"/>
      <name val="Arial"/>
      <family val="2"/>
      <charset val="129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48">
    <xf numFmtId="0" fontId="0" fillId="0" borderId="0" xfId="0"/>
    <xf numFmtId="3" fontId="4" fillId="2" borderId="7" xfId="0" applyNumberFormat="1" applyFont="1" applyFill="1" applyBorder="1" applyAlignment="1">
      <alignment vertical="center"/>
    </xf>
    <xf numFmtId="3" fontId="4" fillId="2" borderId="13" xfId="0" applyNumberFormat="1" applyFont="1" applyFill="1" applyBorder="1" applyAlignment="1">
      <alignment vertical="center"/>
    </xf>
    <xf numFmtId="0" fontId="6" fillId="2" borderId="10" xfId="0" applyFont="1" applyFill="1" applyBorder="1"/>
    <xf numFmtId="0" fontId="6" fillId="2" borderId="11" xfId="0" applyFont="1" applyFill="1" applyBorder="1"/>
    <xf numFmtId="0" fontId="6" fillId="2" borderId="12" xfId="0" applyFont="1" applyFill="1" applyBorder="1"/>
    <xf numFmtId="0" fontId="6" fillId="2" borderId="0" xfId="0" applyFont="1" applyFill="1"/>
    <xf numFmtId="0" fontId="8" fillId="2" borderId="3" xfId="0" applyFont="1" applyFill="1" applyBorder="1" applyAlignment="1">
      <alignment horizontal="centerContinuous" vertical="top"/>
    </xf>
    <xf numFmtId="0" fontId="4" fillId="2" borderId="3" xfId="0" applyFont="1" applyFill="1" applyBorder="1" applyAlignment="1">
      <alignment horizontal="centerContinuous" vertical="top"/>
    </xf>
    <xf numFmtId="0" fontId="4" fillId="2" borderId="5" xfId="0" applyFont="1" applyFill="1" applyBorder="1" applyAlignment="1">
      <alignment horizontal="centerContinuous" vertical="top"/>
    </xf>
    <xf numFmtId="0" fontId="4" fillId="2" borderId="0" xfId="0" applyFont="1" applyFill="1" applyAlignment="1">
      <alignment vertical="top"/>
    </xf>
    <xf numFmtId="0" fontId="4" fillId="2" borderId="7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3" xfId="0" applyFont="1" applyFill="1" applyBorder="1" applyAlignment="1">
      <alignment vertical="center"/>
    </xf>
    <xf numFmtId="0" fontId="4" fillId="2" borderId="0" xfId="0" applyFont="1" applyFill="1"/>
    <xf numFmtId="3" fontId="4" fillId="2" borderId="0" xfId="0" applyNumberFormat="1" applyFont="1" applyFill="1"/>
    <xf numFmtId="0" fontId="6" fillId="2" borderId="14" xfId="0" applyFont="1" applyFill="1" applyBorder="1" applyAlignment="1">
      <alignment horizontal="right" vertical="center"/>
    </xf>
    <xf numFmtId="0" fontId="9" fillId="2" borderId="0" xfId="0" applyFont="1" applyFill="1" applyAlignment="1">
      <alignment horizontal="left" vertical="center" shrinkToFit="1"/>
    </xf>
    <xf numFmtId="0" fontId="4" fillId="2" borderId="8" xfId="0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vertical="center"/>
    </xf>
    <xf numFmtId="0" fontId="4" fillId="2" borderId="0" xfId="0" applyFont="1" applyFill="1" applyAlignment="1">
      <alignment horizontal="center"/>
    </xf>
    <xf numFmtId="0" fontId="4" fillId="2" borderId="11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11" fillId="2" borderId="15" xfId="0" applyFont="1" applyFill="1" applyBorder="1" applyAlignment="1">
      <alignment vertical="center"/>
    </xf>
    <xf numFmtId="0" fontId="13" fillId="2" borderId="15" xfId="0" applyFont="1" applyFill="1" applyBorder="1" applyAlignment="1">
      <alignment horizontal="right" vertical="center"/>
    </xf>
    <xf numFmtId="3" fontId="12" fillId="2" borderId="0" xfId="0" applyNumberFormat="1" applyFont="1" applyFill="1" applyAlignment="1">
      <alignment horizontal="center" vertical="center"/>
    </xf>
    <xf numFmtId="0" fontId="12" fillId="2" borderId="0" xfId="0" applyFont="1" applyFill="1" applyAlignment="1">
      <alignment horizontal="right" vertical="center"/>
    </xf>
    <xf numFmtId="3" fontId="12" fillId="2" borderId="14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3" fontId="13" fillId="4" borderId="4" xfId="0" applyNumberFormat="1" applyFont="1" applyFill="1" applyBorder="1" applyAlignment="1">
      <alignment horizontal="center" vertical="center"/>
    </xf>
    <xf numFmtId="41" fontId="4" fillId="2" borderId="4" xfId="1" applyFont="1" applyFill="1" applyBorder="1" applyAlignment="1">
      <alignment horizontal="center" vertical="center"/>
    </xf>
    <xf numFmtId="177" fontId="4" fillId="0" borderId="4" xfId="0" applyNumberFormat="1" applyFont="1" applyBorder="1" applyAlignment="1">
      <alignment horizontal="center" vertical="center"/>
    </xf>
    <xf numFmtId="176" fontId="4" fillId="2" borderId="4" xfId="0" applyNumberFormat="1" applyFont="1" applyFill="1" applyBorder="1" applyAlignment="1">
      <alignment horizontal="center" vertical="center"/>
    </xf>
    <xf numFmtId="3" fontId="14" fillId="2" borderId="6" xfId="0" applyNumberFormat="1" applyFont="1" applyFill="1" applyBorder="1" applyAlignment="1">
      <alignment horizontal="center" vertical="center"/>
    </xf>
    <xf numFmtId="3" fontId="14" fillId="2" borderId="1" xfId="0" applyNumberFormat="1" applyFont="1" applyFill="1" applyBorder="1" applyAlignment="1">
      <alignment horizontal="center" vertical="center"/>
    </xf>
    <xf numFmtId="3" fontId="15" fillId="0" borderId="0" xfId="0" applyNumberFormat="1" applyFont="1" applyAlignment="1">
      <alignment horizontal="center" vertical="center"/>
    </xf>
    <xf numFmtId="3" fontId="4" fillId="2" borderId="6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vertical="center"/>
    </xf>
    <xf numFmtId="41" fontId="4" fillId="2" borderId="0" xfId="1" applyFont="1" applyFill="1"/>
    <xf numFmtId="3" fontId="14" fillId="3" borderId="10" xfId="0" applyNumberFormat="1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vertical="center"/>
    </xf>
    <xf numFmtId="3" fontId="7" fillId="2" borderId="0" xfId="0" applyNumberFormat="1" applyFont="1" applyFill="1" applyAlignment="1">
      <alignment vertical="center"/>
    </xf>
    <xf numFmtId="0" fontId="7" fillId="2" borderId="0" xfId="0" applyFont="1" applyFill="1" applyAlignment="1">
      <alignment vertical="center"/>
    </xf>
    <xf numFmtId="3" fontId="7" fillId="2" borderId="11" xfId="0" applyNumberFormat="1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3" fontId="7" fillId="2" borderId="14" xfId="0" applyNumberFormat="1" applyFont="1" applyFill="1" applyBorder="1" applyAlignment="1">
      <alignment horizontal="left" vertical="center"/>
    </xf>
    <xf numFmtId="3" fontId="7" fillId="2" borderId="0" xfId="0" applyNumberFormat="1" applyFont="1" applyFill="1" applyAlignment="1">
      <alignment horizontal="left" vertical="center"/>
    </xf>
    <xf numFmtId="3" fontId="4" fillId="2" borderId="0" xfId="0" applyNumberFormat="1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3" fontId="4" fillId="2" borderId="14" xfId="0" applyNumberFormat="1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14" fillId="2" borderId="0" xfId="0" applyFont="1" applyFill="1"/>
    <xf numFmtId="0" fontId="13" fillId="4" borderId="4" xfId="0" applyFont="1" applyFill="1" applyBorder="1" applyAlignment="1">
      <alignment vertical="center"/>
    </xf>
    <xf numFmtId="0" fontId="4" fillId="2" borderId="4" xfId="0" applyFont="1" applyFill="1" applyBorder="1" applyAlignment="1">
      <alignment horizontal="center" vertical="center"/>
    </xf>
    <xf numFmtId="3" fontId="4" fillId="2" borderId="4" xfId="0" applyNumberFormat="1" applyFont="1" applyFill="1" applyBorder="1" applyAlignment="1">
      <alignment horizontal="right" vertical="center"/>
    </xf>
    <xf numFmtId="0" fontId="13" fillId="4" borderId="1" xfId="0" applyFont="1" applyFill="1" applyBorder="1" applyAlignment="1">
      <alignment horizontal="center" vertical="center"/>
    </xf>
    <xf numFmtId="0" fontId="24" fillId="0" borderId="4" xfId="0" applyFont="1" applyBorder="1" applyAlignment="1">
      <alignment wrapText="1"/>
    </xf>
    <xf numFmtId="0" fontId="2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2" borderId="4" xfId="1" applyNumberFormat="1" applyFont="1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right" wrapText="1"/>
    </xf>
    <xf numFmtId="3" fontId="13" fillId="4" borderId="4" xfId="0" applyNumberFormat="1" applyFont="1" applyFill="1" applyBorder="1" applyAlignment="1">
      <alignment vertical="center"/>
    </xf>
    <xf numFmtId="3" fontId="14" fillId="2" borderId="6" xfId="0" applyNumberFormat="1" applyFont="1" applyFill="1" applyBorder="1" applyAlignment="1">
      <alignment vertical="center"/>
    </xf>
    <xf numFmtId="3" fontId="14" fillId="2" borderId="1" xfId="0" applyNumberFormat="1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41" fontId="13" fillId="3" borderId="2" xfId="1" applyFont="1" applyFill="1" applyBorder="1" applyAlignment="1">
      <alignment horizontal="right" vertical="center"/>
    </xf>
    <xf numFmtId="41" fontId="13" fillId="3" borderId="1" xfId="1" applyFont="1" applyFill="1" applyBorder="1" applyAlignment="1">
      <alignment horizontal="right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3" fontId="12" fillId="2" borderId="0" xfId="0" applyNumberFormat="1" applyFont="1" applyFill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3" fontId="13" fillId="2" borderId="4" xfId="0" applyNumberFormat="1" applyFont="1" applyFill="1" applyBorder="1" applyAlignment="1">
      <alignment horizontal="right" vertical="center"/>
    </xf>
    <xf numFmtId="3" fontId="4" fillId="2" borderId="6" xfId="0" applyNumberFormat="1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3" fontId="13" fillId="2" borderId="6" xfId="0" applyNumberFormat="1" applyFont="1" applyFill="1" applyBorder="1" applyAlignment="1">
      <alignment horizontal="right" vertical="center"/>
    </xf>
    <xf numFmtId="3" fontId="13" fillId="2" borderId="1" xfId="0" applyNumberFormat="1" applyFont="1" applyFill="1" applyBorder="1" applyAlignment="1">
      <alignment horizontal="right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3" fontId="4" fillId="2" borderId="4" xfId="0" applyNumberFormat="1" applyFont="1" applyFill="1" applyBorder="1" applyAlignment="1">
      <alignment horizontal="right" vertical="center"/>
    </xf>
    <xf numFmtId="0" fontId="13" fillId="2" borderId="6" xfId="0" applyFont="1" applyFill="1" applyBorder="1" applyAlignment="1">
      <alignment horizontal="left" vertical="center"/>
    </xf>
    <xf numFmtId="0" fontId="13" fillId="2" borderId="2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left" vertical="center"/>
    </xf>
    <xf numFmtId="3" fontId="18" fillId="2" borderId="4" xfId="0" applyNumberFormat="1" applyFont="1" applyFill="1" applyBorder="1" applyAlignment="1">
      <alignment horizontal="right" vertical="center"/>
    </xf>
    <xf numFmtId="3" fontId="14" fillId="2" borderId="6" xfId="0" applyNumberFormat="1" applyFont="1" applyFill="1" applyBorder="1" applyAlignment="1">
      <alignment horizontal="center" vertical="center"/>
    </xf>
    <xf numFmtId="3" fontId="14" fillId="2" borderId="1" xfId="0" applyNumberFormat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3" fontId="12" fillId="2" borderId="15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14" xfId="0" applyFont="1" applyFill="1" applyBorder="1" applyAlignment="1">
      <alignment horizontal="left" vertical="center"/>
    </xf>
    <xf numFmtId="0" fontId="13" fillId="4" borderId="4" xfId="0" applyFont="1" applyFill="1" applyBorder="1" applyAlignment="1">
      <alignment horizontal="center" vertical="center"/>
    </xf>
    <xf numFmtId="3" fontId="13" fillId="4" borderId="4" xfId="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shrinkToFit="1"/>
    </xf>
    <xf numFmtId="0" fontId="9" fillId="2" borderId="0" xfId="0" applyFont="1" applyFill="1" applyAlignment="1">
      <alignment horizontal="left" vertical="center" shrinkToFit="1"/>
    </xf>
    <xf numFmtId="0" fontId="4" fillId="2" borderId="4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2" borderId="2" xfId="2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4" fillId="2" borderId="2" xfId="0" quotePrefix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26" fillId="5" borderId="6" xfId="0" applyFont="1" applyFill="1" applyBorder="1" applyAlignment="1">
      <alignment horizontal="center" vertical="center" wrapText="1"/>
    </xf>
    <xf numFmtId="0" fontId="26" fillId="5" borderId="2" xfId="0" applyFont="1" applyFill="1" applyBorder="1" applyAlignment="1">
      <alignment horizontal="center" vertical="center" wrapText="1"/>
    </xf>
    <xf numFmtId="0" fontId="26" fillId="5" borderId="1" xfId="0" applyFont="1" applyFill="1" applyBorder="1" applyAlignment="1">
      <alignment horizontal="center" vertical="center" wrapText="1"/>
    </xf>
    <xf numFmtId="41" fontId="4" fillId="0" borderId="6" xfId="1" applyFont="1" applyBorder="1" applyAlignment="1">
      <alignment horizontal="center" vertical="center"/>
    </xf>
    <xf numFmtId="41" fontId="4" fillId="0" borderId="1" xfId="1" applyFont="1" applyBorder="1" applyAlignment="1">
      <alignment horizontal="center" vertical="center"/>
    </xf>
    <xf numFmtId="41" fontId="4" fillId="0" borderId="4" xfId="1" applyFont="1" applyBorder="1" applyAlignment="1">
      <alignment horizontal="center" vertical="center"/>
    </xf>
    <xf numFmtId="3" fontId="23" fillId="2" borderId="10" xfId="0" applyNumberFormat="1" applyFont="1" applyFill="1" applyBorder="1" applyAlignment="1">
      <alignment horizontal="center" vertical="center" wrapText="1"/>
    </xf>
    <xf numFmtId="3" fontId="23" fillId="2" borderId="11" xfId="0" applyNumberFormat="1" applyFont="1" applyFill="1" applyBorder="1" applyAlignment="1">
      <alignment horizontal="center" vertical="center" wrapText="1"/>
    </xf>
    <xf numFmtId="0" fontId="13" fillId="5" borderId="10" xfId="0" applyFont="1" applyFill="1" applyBorder="1" applyAlignment="1">
      <alignment horizontal="left" vertical="center"/>
    </xf>
    <xf numFmtId="0" fontId="13" fillId="5" borderId="11" xfId="0" applyFont="1" applyFill="1" applyBorder="1" applyAlignment="1">
      <alignment horizontal="left" vertical="center"/>
    </xf>
    <xf numFmtId="41" fontId="4" fillId="0" borderId="6" xfId="1" applyFont="1" applyBorder="1" applyAlignment="1">
      <alignment horizontal="right" vertical="center"/>
    </xf>
    <xf numFmtId="41" fontId="4" fillId="0" borderId="1" xfId="1" applyFont="1" applyBorder="1" applyAlignment="1">
      <alignment horizontal="right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41" fontId="4" fillId="0" borderId="4" xfId="1" applyFont="1" applyBorder="1" applyAlignment="1">
      <alignment horizontal="right" vertical="center"/>
    </xf>
    <xf numFmtId="3" fontId="4" fillId="2" borderId="4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22" fillId="2" borderId="13" xfId="0" applyFont="1" applyFill="1" applyBorder="1" applyAlignment="1">
      <alignment horizontal="center" vertical="center"/>
    </xf>
    <xf numFmtId="0" fontId="22" fillId="2" borderId="14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3" fontId="23" fillId="2" borderId="4" xfId="0" applyNumberFormat="1" applyFont="1" applyFill="1" applyBorder="1" applyAlignment="1">
      <alignment horizontal="left" vertical="center"/>
    </xf>
    <xf numFmtId="3" fontId="23" fillId="2" borderId="4" xfId="0" applyNumberFormat="1" applyFont="1" applyFill="1" applyBorder="1" applyAlignment="1">
      <alignment horizontal="left" vertical="center" wrapText="1"/>
    </xf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555274</xdr:colOff>
      <xdr:row>24</xdr:row>
      <xdr:rowOff>308848</xdr:rowOff>
    </xdr:from>
    <xdr:to>
      <xdr:col>7</xdr:col>
      <xdr:colOff>442904</xdr:colOff>
      <xdr:row>26</xdr:row>
      <xdr:rowOff>100522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7D4F7B8-AADB-4E77-931B-F0478C551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90941" y="10027205"/>
          <a:ext cx="594396" cy="5251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335278</xdr:colOff>
      <xdr:row>24</xdr:row>
      <xdr:rowOff>360446</xdr:rowOff>
    </xdr:from>
    <xdr:ext cx="592246" cy="543093"/>
    <xdr:pic>
      <xdr:nvPicPr>
        <xdr:cNvPr id="2" name="그림 1">
          <a:extLst>
            <a:ext uri="{FF2B5EF4-FFF2-40B4-BE49-F238E27FC236}">
              <a16:creationId xmlns:a16="http://schemas.microsoft.com/office/drawing/2014/main" id="{45EEC3F1-56E2-4881-9A6E-81F731482A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9253" y="7707396"/>
          <a:ext cx="592246" cy="543093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335278</xdr:colOff>
      <xdr:row>24</xdr:row>
      <xdr:rowOff>360446</xdr:rowOff>
    </xdr:from>
    <xdr:ext cx="592246" cy="543093"/>
    <xdr:pic>
      <xdr:nvPicPr>
        <xdr:cNvPr id="3" name="그림 2">
          <a:extLst>
            <a:ext uri="{FF2B5EF4-FFF2-40B4-BE49-F238E27FC236}">
              <a16:creationId xmlns:a16="http://schemas.microsoft.com/office/drawing/2014/main" id="{1A75A4E4-8327-4212-9EC1-74D25F441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7830" y="7465439"/>
          <a:ext cx="592246" cy="543093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555274</xdr:colOff>
      <xdr:row>31</xdr:row>
      <xdr:rowOff>308848</xdr:rowOff>
    </xdr:from>
    <xdr:to>
      <xdr:col>8</xdr:col>
      <xdr:colOff>449914</xdr:colOff>
      <xdr:row>33</xdr:row>
      <xdr:rowOff>109121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8308805-B3BE-F81A-C649-FF834EEA3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86029" y="7521490"/>
          <a:ext cx="586034" cy="5298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555274</xdr:colOff>
      <xdr:row>36</xdr:row>
      <xdr:rowOff>308848</xdr:rowOff>
    </xdr:from>
    <xdr:to>
      <xdr:col>7</xdr:col>
      <xdr:colOff>441010</xdr:colOff>
      <xdr:row>38</xdr:row>
      <xdr:rowOff>98629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CE70CC8-E622-431B-B766-4F32C1111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90941" y="8587025"/>
          <a:ext cx="595371" cy="5260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kjh@testipie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kjh@testipie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kjh@testipi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7D6C0-2B0C-4723-B316-D4C41F296E9D}">
  <dimension ref="A1:U172"/>
  <sheetViews>
    <sheetView tabSelected="1" view="pageBreakPreview" zoomScale="145" zoomScaleNormal="100" zoomScaleSheetLayoutView="145" workbookViewId="0">
      <selection activeCell="E18" sqref="E18"/>
    </sheetView>
  </sheetViews>
  <sheetFormatPr defaultColWidth="9" defaultRowHeight="19.149999999999999"/>
  <cols>
    <col min="1" max="1" width="2.1875" style="6" customWidth="1"/>
    <col min="2" max="2" width="9.5" style="6" customWidth="1"/>
    <col min="3" max="3" width="7.1875" style="6" customWidth="1"/>
    <col min="4" max="4" width="7.6875" style="6" customWidth="1"/>
    <col min="5" max="5" width="12" style="6" customWidth="1"/>
    <col min="6" max="6" width="6.5" style="6" customWidth="1"/>
    <col min="7" max="7" width="9.3125" style="6" customWidth="1"/>
    <col min="8" max="8" width="17.1875" style="6" customWidth="1"/>
    <col min="9" max="9" width="5.5" style="6" customWidth="1"/>
    <col min="10" max="10" width="14.8125" style="6" customWidth="1"/>
    <col min="11" max="11" width="5.1875" style="6" customWidth="1"/>
    <col min="12" max="12" width="10.1875" style="6" bestFit="1" customWidth="1"/>
    <col min="13" max="15" width="9" style="6"/>
    <col min="16" max="16" width="11.1875" style="6" bestFit="1" customWidth="1"/>
    <col min="17" max="16384" width="9" style="6"/>
  </cols>
  <sheetData>
    <row r="1" spans="1:16">
      <c r="A1" s="3"/>
      <c r="B1" s="4"/>
      <c r="C1" s="4"/>
      <c r="D1" s="4"/>
      <c r="E1" s="4"/>
      <c r="F1" s="4"/>
      <c r="G1" s="4"/>
      <c r="H1" s="4"/>
      <c r="I1" s="4"/>
      <c r="J1" s="4"/>
      <c r="K1" s="5"/>
    </row>
    <row r="2" spans="1:16" s="10" customFormat="1" ht="55.5" customHeight="1">
      <c r="A2" s="7" t="s">
        <v>19</v>
      </c>
      <c r="B2" s="8"/>
      <c r="C2" s="8"/>
      <c r="D2" s="8"/>
      <c r="E2" s="8"/>
      <c r="F2" s="8"/>
      <c r="G2" s="8"/>
      <c r="H2" s="9"/>
      <c r="I2" s="9"/>
      <c r="J2" s="9"/>
      <c r="K2" s="8"/>
    </row>
    <row r="3" spans="1:16" s="14" customFormat="1" ht="15.75" customHeight="1">
      <c r="A3" s="11"/>
      <c r="B3" s="12"/>
      <c r="C3" s="12"/>
      <c r="D3" s="12"/>
      <c r="E3" s="12"/>
      <c r="F3" s="114" t="s">
        <v>18</v>
      </c>
      <c r="G3" s="114"/>
      <c r="H3" s="120" t="s">
        <v>9</v>
      </c>
      <c r="I3" s="96"/>
      <c r="J3" s="97"/>
      <c r="K3" s="13"/>
      <c r="P3" s="15"/>
    </row>
    <row r="4" spans="1:16" s="14" customFormat="1" ht="15.75" customHeight="1">
      <c r="A4" s="11"/>
      <c r="B4" s="16" t="s">
        <v>30</v>
      </c>
      <c r="C4" s="16" t="s">
        <v>98</v>
      </c>
      <c r="D4" s="16" t="s">
        <v>99</v>
      </c>
      <c r="E4" s="12"/>
      <c r="F4" s="114" t="s">
        <v>7</v>
      </c>
      <c r="G4" s="114"/>
      <c r="H4" s="115" t="s">
        <v>10</v>
      </c>
      <c r="I4" s="115"/>
      <c r="J4" s="116"/>
      <c r="K4" s="13"/>
      <c r="P4" s="15"/>
    </row>
    <row r="5" spans="1:16" s="14" customFormat="1" ht="15.75" customHeight="1">
      <c r="A5" s="11"/>
      <c r="B5" s="12"/>
      <c r="C5" s="12"/>
      <c r="D5" s="12"/>
      <c r="E5" s="12"/>
      <c r="F5" s="114" t="s">
        <v>17</v>
      </c>
      <c r="G5" s="114"/>
      <c r="H5" s="115" t="s">
        <v>8</v>
      </c>
      <c r="I5" s="115"/>
      <c r="J5" s="116"/>
      <c r="K5" s="13"/>
    </row>
    <row r="6" spans="1:16" s="14" customFormat="1" ht="40.049999999999997" customHeight="1">
      <c r="A6" s="11"/>
      <c r="B6" s="112" t="s">
        <v>97</v>
      </c>
      <c r="C6" s="113"/>
      <c r="D6" s="113"/>
      <c r="E6" s="113"/>
      <c r="F6" s="114" t="s">
        <v>24</v>
      </c>
      <c r="G6" s="114"/>
      <c r="H6" s="115" t="s">
        <v>14</v>
      </c>
      <c r="I6" s="115"/>
      <c r="J6" s="116"/>
      <c r="K6" s="13"/>
    </row>
    <row r="7" spans="1:16" s="14" customFormat="1" ht="15.75" customHeight="1">
      <c r="A7" s="11"/>
      <c r="B7" s="12" t="s">
        <v>20</v>
      </c>
      <c r="C7" s="17"/>
      <c r="D7" s="17"/>
      <c r="E7" s="17"/>
      <c r="F7" s="114" t="s">
        <v>16</v>
      </c>
      <c r="G7" s="114"/>
      <c r="H7" s="117" t="s">
        <v>28</v>
      </c>
      <c r="I7" s="118"/>
      <c r="J7" s="119"/>
      <c r="K7" s="18"/>
    </row>
    <row r="8" spans="1:16" s="14" customFormat="1" ht="15.75" customHeight="1">
      <c r="A8" s="11"/>
      <c r="C8" s="19"/>
      <c r="D8" s="20"/>
      <c r="E8" s="12"/>
      <c r="F8" s="114" t="s">
        <v>15</v>
      </c>
      <c r="G8" s="114"/>
      <c r="H8" s="118" t="s">
        <v>11</v>
      </c>
      <c r="I8" s="118"/>
      <c r="J8" s="119"/>
      <c r="K8" s="18"/>
    </row>
    <row r="9" spans="1:16" s="14" customFormat="1" ht="20" customHeight="1">
      <c r="A9" s="11"/>
      <c r="B9" s="12"/>
      <c r="C9" s="19"/>
      <c r="D9" s="20"/>
      <c r="E9" s="12"/>
      <c r="F9" s="21"/>
      <c r="G9" s="19"/>
      <c r="H9" s="22"/>
      <c r="I9" s="22"/>
      <c r="J9" s="22"/>
      <c r="K9" s="18"/>
    </row>
    <row r="10" spans="1:16" s="14" customFormat="1" ht="22.05" customHeight="1" thickBot="1">
      <c r="A10" s="11"/>
      <c r="B10" s="106"/>
      <c r="C10" s="106"/>
      <c r="D10" s="106"/>
      <c r="E10" s="24"/>
      <c r="F10" s="24"/>
      <c r="G10" s="25" t="s">
        <v>1</v>
      </c>
      <c r="H10" s="107">
        <f>H21</f>
        <v>3850000</v>
      </c>
      <c r="I10" s="107"/>
      <c r="J10" s="26" t="s">
        <v>2</v>
      </c>
      <c r="K10" s="18"/>
    </row>
    <row r="11" spans="1:16" s="14" customFormat="1" ht="22.05" customHeight="1">
      <c r="A11" s="11"/>
      <c r="B11" s="23"/>
      <c r="C11" s="23"/>
      <c r="D11" s="23"/>
      <c r="E11" s="24"/>
      <c r="F11" s="24"/>
      <c r="G11" s="24"/>
      <c r="H11" s="27"/>
      <c r="I11" s="27"/>
      <c r="J11" s="28"/>
      <c r="K11" s="18"/>
    </row>
    <row r="12" spans="1:16" s="14" customFormat="1" ht="22.05" customHeight="1">
      <c r="A12" s="11"/>
      <c r="B12" s="108" t="s">
        <v>96</v>
      </c>
      <c r="C12" s="108"/>
      <c r="D12" s="108"/>
      <c r="E12" s="108"/>
      <c r="F12" s="108"/>
      <c r="G12" s="108"/>
      <c r="H12" s="108"/>
      <c r="I12" s="108"/>
      <c r="J12" s="108"/>
      <c r="K12" s="18"/>
    </row>
    <row r="13" spans="1:16" s="14" customFormat="1" ht="22.05" customHeight="1">
      <c r="A13" s="11"/>
      <c r="B13" s="109"/>
      <c r="C13" s="109"/>
      <c r="D13" s="109"/>
      <c r="E13" s="109"/>
      <c r="F13" s="109"/>
      <c r="G13" s="109"/>
      <c r="H13" s="109"/>
      <c r="I13" s="29"/>
      <c r="J13" s="30"/>
      <c r="K13" s="31"/>
    </row>
    <row r="14" spans="1:16" s="14" customFormat="1" ht="17.25" customHeight="1">
      <c r="A14" s="110" t="s">
        <v>3</v>
      </c>
      <c r="B14" s="110"/>
      <c r="C14" s="110"/>
      <c r="D14" s="110"/>
      <c r="E14" s="32" t="s">
        <v>4</v>
      </c>
      <c r="F14" s="57" t="s">
        <v>26</v>
      </c>
      <c r="G14" s="57" t="s">
        <v>27</v>
      </c>
      <c r="H14" s="111" t="s">
        <v>21</v>
      </c>
      <c r="I14" s="111"/>
      <c r="J14" s="111" t="s">
        <v>0</v>
      </c>
      <c r="K14" s="111"/>
    </row>
    <row r="15" spans="1:16" s="14" customFormat="1" ht="17.25" customHeight="1">
      <c r="A15" s="99" t="s">
        <v>92</v>
      </c>
      <c r="B15" s="100"/>
      <c r="C15" s="100"/>
      <c r="D15" s="101"/>
      <c r="E15" s="33"/>
      <c r="F15" s="34"/>
      <c r="G15" s="35"/>
      <c r="H15" s="102">
        <v>3500000</v>
      </c>
      <c r="I15" s="102"/>
      <c r="J15" s="103"/>
      <c r="K15" s="104"/>
    </row>
    <row r="16" spans="1:16" s="14" customFormat="1" ht="17.25" customHeight="1">
      <c r="A16" s="105" t="s">
        <v>93</v>
      </c>
      <c r="B16" s="96"/>
      <c r="C16" s="96"/>
      <c r="D16" s="97"/>
      <c r="E16" s="33">
        <v>1000000</v>
      </c>
      <c r="F16" s="34">
        <v>1</v>
      </c>
      <c r="G16" s="58">
        <v>1</v>
      </c>
      <c r="H16" s="98">
        <v>1000000</v>
      </c>
      <c r="I16" s="98"/>
      <c r="J16" s="36"/>
      <c r="K16" s="37"/>
    </row>
    <row r="17" spans="1:21" s="14" customFormat="1" ht="17.25" customHeight="1">
      <c r="A17" s="105" t="s">
        <v>94</v>
      </c>
      <c r="B17" s="96"/>
      <c r="C17" s="96"/>
      <c r="D17" s="97"/>
      <c r="E17" s="33">
        <v>2000000</v>
      </c>
      <c r="F17" s="34">
        <v>1</v>
      </c>
      <c r="G17" s="58">
        <v>1</v>
      </c>
      <c r="H17" s="98">
        <v>2000000</v>
      </c>
      <c r="I17" s="98"/>
      <c r="J17" s="36"/>
      <c r="K17" s="37"/>
    </row>
    <row r="18" spans="1:21" s="14" customFormat="1" ht="17.25" customHeight="1">
      <c r="A18" s="95" t="s">
        <v>95</v>
      </c>
      <c r="B18" s="96"/>
      <c r="C18" s="96"/>
      <c r="D18" s="97"/>
      <c r="E18" s="33">
        <v>500000</v>
      </c>
      <c r="F18" s="34">
        <v>1</v>
      </c>
      <c r="G18" s="58">
        <v>1</v>
      </c>
      <c r="H18" s="98">
        <v>500000</v>
      </c>
      <c r="I18" s="98"/>
      <c r="J18" s="36"/>
      <c r="K18" s="37"/>
    </row>
    <row r="19" spans="1:21" s="14" customFormat="1" ht="17.25" customHeight="1">
      <c r="A19" s="86" t="s">
        <v>25</v>
      </c>
      <c r="B19" s="86"/>
      <c r="C19" s="86"/>
      <c r="D19" s="86"/>
      <c r="E19" s="86"/>
      <c r="F19" s="86"/>
      <c r="G19" s="86"/>
      <c r="H19" s="87">
        <f>SUM(H16:I18)</f>
        <v>3500000</v>
      </c>
      <c r="I19" s="87"/>
      <c r="J19" s="88"/>
      <c r="K19" s="89"/>
      <c r="L19" s="15"/>
      <c r="U19" s="38"/>
    </row>
    <row r="20" spans="1:21" s="14" customFormat="1" ht="17.25" customHeight="1">
      <c r="A20" s="90" t="s">
        <v>22</v>
      </c>
      <c r="B20" s="91"/>
      <c r="C20" s="91"/>
      <c r="D20" s="91"/>
      <c r="E20" s="91"/>
      <c r="F20" s="91"/>
      <c r="G20" s="92"/>
      <c r="H20" s="93">
        <f>H19*0.1</f>
        <v>350000</v>
      </c>
      <c r="I20" s="94"/>
      <c r="J20" s="39"/>
      <c r="K20" s="40"/>
      <c r="L20" s="15"/>
      <c r="P20" s="41"/>
    </row>
    <row r="21" spans="1:21" s="14" customFormat="1" ht="22.05" customHeight="1">
      <c r="A21" s="72" t="s">
        <v>5</v>
      </c>
      <c r="B21" s="73"/>
      <c r="C21" s="73"/>
      <c r="D21" s="73"/>
      <c r="E21" s="73"/>
      <c r="F21" s="73"/>
      <c r="G21" s="73"/>
      <c r="H21" s="74">
        <f>SUM(H20,H19)</f>
        <v>3850000</v>
      </c>
      <c r="I21" s="75"/>
      <c r="J21" s="42"/>
      <c r="K21" s="43"/>
    </row>
    <row r="22" spans="1:21" s="14" customFormat="1" ht="22.05" customHeight="1">
      <c r="A22" s="76" t="s">
        <v>6</v>
      </c>
      <c r="B22" s="77"/>
      <c r="C22" s="78"/>
      <c r="D22" s="1" t="s">
        <v>29</v>
      </c>
      <c r="E22" s="44"/>
      <c r="F22" s="45"/>
      <c r="G22" s="45"/>
      <c r="H22" s="46"/>
      <c r="I22" s="46"/>
      <c r="J22" s="46"/>
      <c r="K22" s="47"/>
    </row>
    <row r="23" spans="1:21" s="14" customFormat="1" ht="22.05" customHeight="1">
      <c r="A23" s="79"/>
      <c r="B23" s="80"/>
      <c r="C23" s="81"/>
      <c r="D23" s="1" t="s">
        <v>12</v>
      </c>
      <c r="E23" s="44"/>
      <c r="F23" s="45"/>
      <c r="G23" s="45"/>
      <c r="H23" s="44"/>
      <c r="I23" s="44"/>
      <c r="J23" s="44"/>
      <c r="K23" s="18"/>
    </row>
    <row r="24" spans="1:21" s="14" customFormat="1" ht="22.05" customHeight="1">
      <c r="A24" s="82"/>
      <c r="B24" s="83"/>
      <c r="C24" s="84"/>
      <c r="D24" s="2" t="s">
        <v>13</v>
      </c>
      <c r="E24" s="50"/>
      <c r="F24" s="50"/>
      <c r="G24" s="50"/>
      <c r="H24" s="50"/>
      <c r="I24" s="50"/>
      <c r="J24" s="50"/>
      <c r="K24" s="31"/>
    </row>
    <row r="25" spans="1:21" s="14" customFormat="1" ht="30.75" customHeight="1">
      <c r="A25" s="11"/>
      <c r="B25" s="48"/>
      <c r="C25" s="48"/>
      <c r="D25" s="51"/>
      <c r="E25" s="44"/>
      <c r="F25" s="45"/>
      <c r="G25" s="45"/>
      <c r="H25" s="44"/>
      <c r="I25" s="44"/>
      <c r="J25" s="44"/>
      <c r="K25" s="18"/>
    </row>
    <row r="26" spans="1:21" s="14" customFormat="1" ht="28.05" customHeight="1">
      <c r="A26" s="11"/>
      <c r="B26" s="48"/>
      <c r="C26" s="48"/>
      <c r="E26" s="85" t="s">
        <v>9</v>
      </c>
      <c r="F26" s="85"/>
      <c r="G26" s="85"/>
      <c r="H26" s="52" t="s">
        <v>23</v>
      </c>
      <c r="I26" s="52"/>
      <c r="J26" s="52"/>
      <c r="K26" s="18"/>
    </row>
    <row r="27" spans="1:21" s="14" customFormat="1" ht="30.75" customHeight="1">
      <c r="A27" s="53"/>
      <c r="B27" s="49"/>
      <c r="C27" s="49"/>
      <c r="D27" s="54"/>
      <c r="E27" s="54"/>
      <c r="F27" s="55"/>
      <c r="G27" s="55"/>
      <c r="H27" s="54"/>
      <c r="I27" s="54"/>
      <c r="J27" s="54"/>
      <c r="K27" s="31"/>
    </row>
    <row r="28" spans="1:21" s="14" customFormat="1" ht="20" customHeight="1"/>
    <row r="29" spans="1:21" s="14" customFormat="1" ht="20" customHeight="1"/>
    <row r="30" spans="1:21" s="14" customFormat="1" ht="20" customHeight="1"/>
    <row r="31" spans="1:21" s="14" customFormat="1" ht="25.5" customHeight="1"/>
    <row r="32" spans="1:21" s="14" customFormat="1" ht="27.75" customHeight="1"/>
    <row r="33" spans="5:10" s="14" customFormat="1" ht="15.75">
      <c r="E33" s="56"/>
      <c r="H33" s="15"/>
      <c r="I33" s="15"/>
      <c r="J33" s="15"/>
    </row>
    <row r="34" spans="5:10" s="14" customFormat="1" ht="15.75">
      <c r="E34" s="56"/>
      <c r="H34" s="15"/>
      <c r="I34" s="15"/>
      <c r="J34" s="15"/>
    </row>
    <row r="35" spans="5:10" s="14" customFormat="1" ht="15.75">
      <c r="E35" s="56"/>
      <c r="H35" s="15"/>
      <c r="I35" s="15"/>
      <c r="J35" s="15"/>
    </row>
    <row r="36" spans="5:10" s="14" customFormat="1" ht="15.75">
      <c r="E36" s="56"/>
      <c r="H36" s="15"/>
      <c r="I36" s="15"/>
      <c r="J36" s="15"/>
    </row>
    <row r="37" spans="5:10" s="14" customFormat="1" ht="15.75">
      <c r="E37" s="56"/>
      <c r="H37" s="15"/>
      <c r="I37" s="15"/>
      <c r="J37" s="15"/>
    </row>
    <row r="38" spans="5:10" s="14" customFormat="1" ht="15.75">
      <c r="E38" s="56"/>
      <c r="H38" s="15"/>
      <c r="I38" s="15"/>
      <c r="J38" s="15"/>
    </row>
    <row r="39" spans="5:10" s="14" customFormat="1" ht="15.75">
      <c r="E39" s="56"/>
      <c r="H39" s="15"/>
      <c r="I39" s="15"/>
      <c r="J39" s="15"/>
    </row>
    <row r="40" spans="5:10" s="14" customFormat="1" ht="15.75">
      <c r="E40" s="56"/>
      <c r="H40" s="15"/>
      <c r="I40" s="15"/>
      <c r="J40" s="15"/>
    </row>
    <row r="41" spans="5:10" s="14" customFormat="1" ht="15.75">
      <c r="E41" s="56"/>
      <c r="H41" s="15"/>
      <c r="I41" s="15"/>
      <c r="J41" s="15"/>
    </row>
    <row r="42" spans="5:10" s="14" customFormat="1" ht="15.75">
      <c r="E42" s="56"/>
      <c r="H42" s="15"/>
      <c r="I42" s="15"/>
      <c r="J42" s="15"/>
    </row>
    <row r="43" spans="5:10" s="14" customFormat="1" ht="15.75">
      <c r="E43" s="56"/>
      <c r="H43" s="15"/>
      <c r="I43" s="15"/>
      <c r="J43" s="15"/>
    </row>
    <row r="44" spans="5:10" s="14" customFormat="1" ht="15.75">
      <c r="E44" s="56"/>
      <c r="H44" s="15"/>
      <c r="I44" s="15"/>
      <c r="J44" s="15"/>
    </row>
    <row r="45" spans="5:10" s="14" customFormat="1" ht="15.75">
      <c r="E45" s="56"/>
      <c r="H45" s="15"/>
      <c r="I45" s="15"/>
      <c r="J45" s="15"/>
    </row>
    <row r="46" spans="5:10" s="14" customFormat="1" ht="15.75">
      <c r="E46" s="56"/>
      <c r="H46" s="15"/>
      <c r="I46" s="15"/>
      <c r="J46" s="15"/>
    </row>
    <row r="47" spans="5:10" s="14" customFormat="1" ht="15.75">
      <c r="E47" s="56"/>
      <c r="H47" s="15"/>
      <c r="I47" s="15"/>
      <c r="J47" s="15"/>
    </row>
    <row r="48" spans="5:10" s="14" customFormat="1" ht="15.75">
      <c r="E48" s="56"/>
      <c r="H48" s="15"/>
      <c r="I48" s="15"/>
      <c r="J48" s="15"/>
    </row>
    <row r="49" spans="5:10" s="14" customFormat="1" ht="15.75">
      <c r="E49" s="56"/>
      <c r="H49" s="15"/>
      <c r="I49" s="15"/>
      <c r="J49" s="15"/>
    </row>
    <row r="50" spans="5:10" s="14" customFormat="1" ht="15.75">
      <c r="E50" s="56"/>
      <c r="H50" s="15"/>
      <c r="I50" s="15"/>
      <c r="J50" s="15"/>
    </row>
    <row r="51" spans="5:10" s="14" customFormat="1" ht="15.75">
      <c r="E51" s="56"/>
      <c r="H51" s="15"/>
      <c r="I51" s="15"/>
      <c r="J51" s="15"/>
    </row>
    <row r="52" spans="5:10" s="14" customFormat="1" ht="15.75">
      <c r="E52" s="56"/>
      <c r="H52" s="15"/>
      <c r="I52" s="15"/>
      <c r="J52" s="15"/>
    </row>
    <row r="53" spans="5:10" s="14" customFormat="1" ht="15.75">
      <c r="E53" s="56"/>
      <c r="H53" s="15"/>
      <c r="I53" s="15"/>
      <c r="J53" s="15"/>
    </row>
    <row r="54" spans="5:10" s="14" customFormat="1" ht="15.75">
      <c r="E54" s="56"/>
      <c r="H54" s="15"/>
      <c r="I54" s="15"/>
      <c r="J54" s="15"/>
    </row>
    <row r="55" spans="5:10" s="14" customFormat="1" ht="15.75">
      <c r="E55" s="56"/>
      <c r="H55" s="15"/>
      <c r="I55" s="15"/>
      <c r="J55" s="15"/>
    </row>
    <row r="56" spans="5:10" s="14" customFormat="1" ht="15.75">
      <c r="E56" s="56"/>
      <c r="H56" s="15"/>
      <c r="I56" s="15"/>
      <c r="J56" s="15"/>
    </row>
    <row r="57" spans="5:10" s="14" customFormat="1" ht="15.75">
      <c r="E57" s="56"/>
      <c r="H57" s="15"/>
      <c r="I57" s="15"/>
      <c r="J57" s="15"/>
    </row>
    <row r="58" spans="5:10" s="14" customFormat="1" ht="15.75">
      <c r="E58" s="56"/>
      <c r="H58" s="15"/>
      <c r="I58" s="15"/>
      <c r="J58" s="15"/>
    </row>
    <row r="59" spans="5:10" s="14" customFormat="1" ht="15.75">
      <c r="E59" s="56"/>
      <c r="H59" s="15"/>
      <c r="I59" s="15"/>
      <c r="J59" s="15"/>
    </row>
    <row r="60" spans="5:10" s="14" customFormat="1" ht="15.75">
      <c r="E60" s="56"/>
      <c r="H60" s="15"/>
      <c r="I60" s="15"/>
      <c r="J60" s="15"/>
    </row>
    <row r="61" spans="5:10" s="14" customFormat="1" ht="15.75">
      <c r="E61" s="56"/>
      <c r="H61" s="15"/>
      <c r="I61" s="15"/>
      <c r="J61" s="15"/>
    </row>
    <row r="62" spans="5:10" s="14" customFormat="1" ht="15.75">
      <c r="E62" s="56"/>
      <c r="H62" s="15"/>
      <c r="I62" s="15"/>
      <c r="J62" s="15"/>
    </row>
    <row r="63" spans="5:10" s="14" customFormat="1" ht="15.75">
      <c r="E63" s="56"/>
      <c r="H63" s="15"/>
      <c r="I63" s="15"/>
      <c r="J63" s="15"/>
    </row>
    <row r="64" spans="5:10" s="14" customFormat="1" ht="15.75">
      <c r="E64" s="56"/>
      <c r="H64" s="15"/>
      <c r="I64" s="15"/>
      <c r="J64" s="15"/>
    </row>
    <row r="65" spans="5:10" s="14" customFormat="1" ht="15.75">
      <c r="E65" s="56"/>
      <c r="H65" s="15"/>
      <c r="I65" s="15"/>
      <c r="J65" s="15"/>
    </row>
    <row r="66" spans="5:10" s="14" customFormat="1" ht="15.75">
      <c r="E66" s="56"/>
      <c r="H66" s="15"/>
      <c r="I66" s="15"/>
      <c r="J66" s="15"/>
    </row>
    <row r="67" spans="5:10" s="14" customFormat="1" ht="15.75">
      <c r="E67" s="56"/>
      <c r="H67" s="15"/>
      <c r="I67" s="15"/>
      <c r="J67" s="15"/>
    </row>
    <row r="68" spans="5:10" s="14" customFormat="1" ht="15.75">
      <c r="E68" s="56"/>
      <c r="H68" s="15"/>
      <c r="I68" s="15"/>
      <c r="J68" s="15"/>
    </row>
    <row r="69" spans="5:10" s="14" customFormat="1" ht="15.75">
      <c r="E69" s="56"/>
      <c r="H69" s="15"/>
      <c r="I69" s="15"/>
      <c r="J69" s="15"/>
    </row>
    <row r="70" spans="5:10" s="14" customFormat="1" ht="15.75">
      <c r="E70" s="56"/>
      <c r="H70" s="15"/>
      <c r="I70" s="15"/>
      <c r="J70" s="15"/>
    </row>
    <row r="71" spans="5:10" s="14" customFormat="1" ht="15.75">
      <c r="E71" s="56"/>
      <c r="H71" s="15"/>
      <c r="I71" s="15"/>
      <c r="J71" s="15"/>
    </row>
    <row r="72" spans="5:10" s="14" customFormat="1" ht="15.75">
      <c r="E72" s="56"/>
      <c r="H72" s="15"/>
      <c r="I72" s="15"/>
      <c r="J72" s="15"/>
    </row>
    <row r="73" spans="5:10" s="14" customFormat="1" ht="15.75">
      <c r="E73" s="56"/>
      <c r="H73" s="15"/>
      <c r="I73" s="15"/>
      <c r="J73" s="15"/>
    </row>
    <row r="74" spans="5:10" s="14" customFormat="1" ht="15.75">
      <c r="E74" s="56"/>
      <c r="H74" s="15"/>
      <c r="I74" s="15"/>
      <c r="J74" s="15"/>
    </row>
    <row r="75" spans="5:10" s="14" customFormat="1" ht="15.75">
      <c r="E75" s="56"/>
      <c r="H75" s="15"/>
      <c r="I75" s="15"/>
      <c r="J75" s="15"/>
    </row>
    <row r="76" spans="5:10" s="14" customFormat="1" ht="15.75">
      <c r="E76" s="56"/>
      <c r="H76" s="15"/>
      <c r="I76" s="15"/>
      <c r="J76" s="15"/>
    </row>
    <row r="77" spans="5:10" s="14" customFormat="1" ht="15.75">
      <c r="E77" s="56"/>
      <c r="H77" s="15"/>
      <c r="I77" s="15"/>
      <c r="J77" s="15"/>
    </row>
    <row r="78" spans="5:10" s="14" customFormat="1" ht="15.75">
      <c r="E78" s="56"/>
      <c r="H78" s="15"/>
      <c r="I78" s="15"/>
      <c r="J78" s="15"/>
    </row>
    <row r="79" spans="5:10" s="14" customFormat="1" ht="15.75">
      <c r="E79" s="56"/>
      <c r="H79" s="15"/>
      <c r="I79" s="15"/>
      <c r="J79" s="15"/>
    </row>
    <row r="80" spans="5:10" s="14" customFormat="1" ht="15.75">
      <c r="E80" s="56"/>
      <c r="H80" s="15"/>
      <c r="I80" s="15"/>
      <c r="J80" s="15"/>
    </row>
    <row r="81" spans="5:10" s="14" customFormat="1" ht="15.75">
      <c r="E81" s="56"/>
      <c r="H81" s="15"/>
      <c r="I81" s="15"/>
      <c r="J81" s="15"/>
    </row>
    <row r="82" spans="5:10" s="14" customFormat="1" ht="15.75">
      <c r="E82" s="56"/>
      <c r="H82" s="15"/>
      <c r="I82" s="15"/>
      <c r="J82" s="15"/>
    </row>
    <row r="83" spans="5:10" s="14" customFormat="1" ht="15.75">
      <c r="E83" s="56"/>
      <c r="H83" s="15"/>
      <c r="I83" s="15"/>
      <c r="J83" s="15"/>
    </row>
    <row r="84" spans="5:10" s="14" customFormat="1" ht="15.75">
      <c r="E84" s="56"/>
      <c r="H84" s="15"/>
      <c r="I84" s="15"/>
      <c r="J84" s="15"/>
    </row>
    <row r="85" spans="5:10" s="14" customFormat="1" ht="15.75">
      <c r="E85" s="56"/>
      <c r="H85" s="15"/>
      <c r="I85" s="15"/>
      <c r="J85" s="15"/>
    </row>
    <row r="86" spans="5:10" s="14" customFormat="1" ht="15.75">
      <c r="E86" s="56"/>
      <c r="H86" s="15"/>
      <c r="I86" s="15"/>
      <c r="J86" s="15"/>
    </row>
    <row r="87" spans="5:10" s="14" customFormat="1" ht="15.75">
      <c r="E87" s="56"/>
      <c r="H87" s="15"/>
      <c r="I87" s="15"/>
      <c r="J87" s="15"/>
    </row>
    <row r="88" spans="5:10" s="14" customFormat="1" ht="15.75">
      <c r="E88" s="56"/>
      <c r="H88" s="15"/>
      <c r="I88" s="15"/>
      <c r="J88" s="15"/>
    </row>
    <row r="89" spans="5:10" s="14" customFormat="1" ht="15.75">
      <c r="E89" s="56"/>
      <c r="H89" s="15"/>
      <c r="I89" s="15"/>
      <c r="J89" s="15"/>
    </row>
    <row r="90" spans="5:10" s="14" customFormat="1" ht="15.75">
      <c r="H90" s="15"/>
      <c r="I90" s="15"/>
      <c r="J90" s="15"/>
    </row>
    <row r="91" spans="5:10" s="14" customFormat="1" ht="15.75">
      <c r="H91" s="15"/>
      <c r="I91" s="15"/>
      <c r="J91" s="15"/>
    </row>
    <row r="92" spans="5:10" s="14" customFormat="1" ht="15.75">
      <c r="H92" s="15"/>
      <c r="I92" s="15"/>
      <c r="J92" s="15"/>
    </row>
    <row r="93" spans="5:10" s="14" customFormat="1" ht="15.75">
      <c r="H93" s="15"/>
      <c r="I93" s="15"/>
      <c r="J93" s="15"/>
    </row>
    <row r="94" spans="5:10" s="14" customFormat="1" ht="15.75">
      <c r="H94" s="15"/>
      <c r="I94" s="15"/>
      <c r="J94" s="15"/>
    </row>
    <row r="95" spans="5:10" s="14" customFormat="1" ht="15.75">
      <c r="H95" s="15"/>
      <c r="I95" s="15"/>
      <c r="J95" s="15"/>
    </row>
    <row r="96" spans="5:10" s="14" customFormat="1" ht="15.75">
      <c r="H96" s="15"/>
      <c r="I96" s="15"/>
      <c r="J96" s="15"/>
    </row>
    <row r="97" spans="8:10" s="14" customFormat="1" ht="15.75">
      <c r="H97" s="15"/>
      <c r="I97" s="15"/>
      <c r="J97" s="15"/>
    </row>
    <row r="98" spans="8:10" s="14" customFormat="1" ht="15.75">
      <c r="H98" s="15"/>
      <c r="I98" s="15"/>
      <c r="J98" s="15"/>
    </row>
    <row r="99" spans="8:10" s="14" customFormat="1" ht="15.75">
      <c r="H99" s="15"/>
      <c r="I99" s="15"/>
      <c r="J99" s="15"/>
    </row>
    <row r="100" spans="8:10" s="14" customFormat="1" ht="15.75">
      <c r="H100" s="15"/>
      <c r="I100" s="15"/>
      <c r="J100" s="15"/>
    </row>
    <row r="101" spans="8:10" s="14" customFormat="1" ht="15.75">
      <c r="H101" s="15"/>
      <c r="I101" s="15"/>
      <c r="J101" s="15"/>
    </row>
    <row r="102" spans="8:10" s="14" customFormat="1" ht="15.75">
      <c r="H102" s="15"/>
      <c r="I102" s="15"/>
      <c r="J102" s="15"/>
    </row>
    <row r="103" spans="8:10" s="14" customFormat="1" ht="15.75">
      <c r="H103" s="15"/>
      <c r="I103" s="15"/>
      <c r="J103" s="15"/>
    </row>
    <row r="104" spans="8:10" s="14" customFormat="1" ht="15.75">
      <c r="H104" s="15"/>
      <c r="I104" s="15"/>
      <c r="J104" s="15"/>
    </row>
    <row r="105" spans="8:10" s="14" customFormat="1" ht="15.75">
      <c r="H105" s="15"/>
      <c r="I105" s="15"/>
      <c r="J105" s="15"/>
    </row>
    <row r="106" spans="8:10" s="14" customFormat="1" ht="15.75"/>
    <row r="107" spans="8:10" s="14" customFormat="1" ht="15.75"/>
    <row r="108" spans="8:10" s="14" customFormat="1" ht="15.75"/>
    <row r="109" spans="8:10" s="14" customFormat="1" ht="15.75"/>
    <row r="110" spans="8:10" s="14" customFormat="1" ht="15.75"/>
    <row r="111" spans="8:10" s="14" customFormat="1" ht="15.75"/>
    <row r="112" spans="8:10" s="14" customFormat="1" ht="15.75"/>
    <row r="113" s="14" customFormat="1" ht="15.75"/>
    <row r="114" s="14" customFormat="1" ht="15.75"/>
    <row r="115" s="14" customFormat="1" ht="15.75"/>
    <row r="116" s="14" customFormat="1" ht="15.75"/>
    <row r="117" s="14" customFormat="1" ht="15.75"/>
    <row r="118" s="14" customFormat="1" ht="15.75"/>
    <row r="119" s="14" customFormat="1" ht="15.75"/>
    <row r="120" s="14" customFormat="1" ht="15.75"/>
    <row r="121" s="14" customFormat="1" ht="15.75"/>
    <row r="122" s="14" customFormat="1" ht="15.75"/>
    <row r="123" s="14" customFormat="1" ht="15.75"/>
    <row r="124" s="14" customFormat="1" ht="15.75"/>
    <row r="125" s="14" customFormat="1" ht="15.75"/>
    <row r="126" s="14" customFormat="1" ht="15.75"/>
    <row r="127" s="14" customFormat="1" ht="15.75"/>
    <row r="128" s="14" customFormat="1" ht="15.75"/>
    <row r="129" s="14" customFormat="1" ht="15.75"/>
    <row r="130" s="14" customFormat="1" ht="15.75"/>
    <row r="131" s="14" customFormat="1" ht="15.75"/>
    <row r="132" s="14" customFormat="1" ht="15.75"/>
    <row r="133" s="14" customFormat="1" ht="15.75"/>
    <row r="134" s="14" customFormat="1" ht="15.75"/>
    <row r="135" s="14" customFormat="1" ht="15.75"/>
    <row r="136" s="14" customFormat="1" ht="15.75"/>
    <row r="137" s="14" customFormat="1" ht="15.75"/>
    <row r="138" s="14" customFormat="1" ht="15.75"/>
    <row r="139" s="14" customFormat="1" ht="15.75"/>
    <row r="140" s="14" customFormat="1" ht="15.75"/>
    <row r="141" s="14" customFormat="1" ht="15.75"/>
    <row r="142" s="14" customFormat="1" ht="15.75"/>
    <row r="143" s="14" customFormat="1" ht="15.75"/>
    <row r="144" s="14" customFormat="1" ht="15.75"/>
    <row r="145" s="14" customFormat="1" ht="15.75"/>
    <row r="146" s="14" customFormat="1" ht="15.75"/>
    <row r="147" s="14" customFormat="1" ht="15.75"/>
    <row r="148" s="14" customFormat="1" ht="15.75"/>
    <row r="149" s="14" customFormat="1" ht="15.75"/>
    <row r="150" s="14" customFormat="1" ht="15.75"/>
    <row r="151" s="14" customFormat="1" ht="15.75"/>
    <row r="152" s="14" customFormat="1" ht="15.75"/>
    <row r="153" s="14" customFormat="1" ht="15.75"/>
    <row r="154" s="14" customFormat="1" ht="15.75"/>
    <row r="155" s="14" customFormat="1" ht="15.75"/>
    <row r="156" s="14" customFormat="1" ht="15.75"/>
    <row r="157" s="14" customFormat="1" ht="15.75"/>
    <row r="158" s="14" customFormat="1" ht="15.75"/>
    <row r="159" s="14" customFormat="1" ht="15.75"/>
    <row r="160" s="14" customFormat="1" ht="15.75"/>
    <row r="161" s="14" customFormat="1" ht="15.75"/>
    <row r="162" s="14" customFormat="1" ht="15.75"/>
    <row r="163" s="14" customFormat="1" ht="15.75"/>
    <row r="164" s="14" customFormat="1" ht="15.75"/>
    <row r="165" s="14" customFormat="1" ht="15.75"/>
    <row r="166" s="14" customFormat="1" ht="15.75"/>
    <row r="167" s="14" customFormat="1" ht="15.75"/>
    <row r="168" s="14" customFormat="1" ht="15.75"/>
    <row r="169" s="14" customFormat="1" ht="15.75"/>
    <row r="170" s="14" customFormat="1" ht="15.75"/>
    <row r="171" s="14" customFormat="1" ht="15.75"/>
    <row r="172" s="14" customFormat="1" ht="15.75"/>
  </sheetData>
  <mergeCells count="38">
    <mergeCell ref="F8:G8"/>
    <mergeCell ref="H8:J8"/>
    <mergeCell ref="F3:G3"/>
    <mergeCell ref="H3:J3"/>
    <mergeCell ref="F4:G4"/>
    <mergeCell ref="H4:J4"/>
    <mergeCell ref="F5:G5"/>
    <mergeCell ref="H5:J5"/>
    <mergeCell ref="B6:E6"/>
    <mergeCell ref="F6:G6"/>
    <mergeCell ref="H6:J6"/>
    <mergeCell ref="F7:G7"/>
    <mergeCell ref="H7:J7"/>
    <mergeCell ref="A17:D17"/>
    <mergeCell ref="H17:I17"/>
    <mergeCell ref="B10:D10"/>
    <mergeCell ref="H10:I10"/>
    <mergeCell ref="B12:J12"/>
    <mergeCell ref="B13:H13"/>
    <mergeCell ref="A14:D14"/>
    <mergeCell ref="H14:I14"/>
    <mergeCell ref="J14:K14"/>
    <mergeCell ref="A15:D15"/>
    <mergeCell ref="H15:I15"/>
    <mergeCell ref="J15:K15"/>
    <mergeCell ref="A16:D16"/>
    <mergeCell ref="H16:I16"/>
    <mergeCell ref="J19:K19"/>
    <mergeCell ref="A20:G20"/>
    <mergeCell ref="H20:I20"/>
    <mergeCell ref="A18:D18"/>
    <mergeCell ref="H18:I18"/>
    <mergeCell ref="A21:G21"/>
    <mergeCell ref="H21:I21"/>
    <mergeCell ref="A22:C24"/>
    <mergeCell ref="E26:G26"/>
    <mergeCell ref="A19:G19"/>
    <mergeCell ref="H19:I19"/>
  </mergeCells>
  <phoneticPr fontId="20" type="noConversion"/>
  <hyperlinks>
    <hyperlink ref="H7" r:id="rId1" xr:uid="{8768EFF4-A736-48AE-99FA-D28F414F98C5}"/>
  </hyperlinks>
  <printOptions gridLinesSet="0"/>
  <pageMargins left="0.25" right="0.25" top="0.75" bottom="0.75" header="0.3" footer="0.3"/>
  <pageSetup paperSize="9" scale="86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091DA-B25B-40A1-8120-D4A5BCD73C61}">
  <dimension ref="A1:K170"/>
  <sheetViews>
    <sheetView view="pageBreakPreview" topLeftCell="A4" zoomScale="145" zoomScaleNormal="100" zoomScaleSheetLayoutView="145" workbookViewId="0">
      <selection activeCell="A9" sqref="A9:K9"/>
    </sheetView>
  </sheetViews>
  <sheetFormatPr defaultColWidth="9" defaultRowHeight="19.149999999999999"/>
  <cols>
    <col min="1" max="1" width="2.1875" style="6" customWidth="1"/>
    <col min="2" max="2" width="9.5" style="6" customWidth="1"/>
    <col min="3" max="3" width="7.1875" style="6" customWidth="1"/>
    <col min="4" max="4" width="7.6875" style="6" customWidth="1"/>
    <col min="5" max="5" width="17.625" style="6" bestFit="1" customWidth="1"/>
    <col min="6" max="6" width="6.5" style="6" customWidth="1"/>
    <col min="7" max="7" width="6.3125" style="6" customWidth="1"/>
    <col min="8" max="8" width="14.25" style="6" customWidth="1"/>
    <col min="9" max="9" width="10.1875" style="6" customWidth="1"/>
    <col min="10" max="10" width="5.5" style="6" customWidth="1"/>
    <col min="11" max="11" width="14.8125" style="6" customWidth="1"/>
    <col min="12" max="12" width="10.1875" style="6" bestFit="1" customWidth="1"/>
    <col min="13" max="15" width="9" style="6"/>
    <col min="16" max="16" width="11.1875" style="6" bestFit="1" customWidth="1"/>
    <col min="17" max="16384" width="9" style="6"/>
  </cols>
  <sheetData>
    <row r="1" spans="1:11" ht="30.4" customHeight="1">
      <c r="A1" s="3"/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s="10" customFormat="1" ht="55.5" customHeight="1">
      <c r="A2" s="141" t="s">
        <v>62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</row>
    <row r="3" spans="1:11" s="10" customFormat="1" ht="20.25" customHeight="1">
      <c r="A3" s="143" t="s">
        <v>63</v>
      </c>
      <c r="B3" s="144"/>
      <c r="C3" s="144"/>
      <c r="D3" s="144"/>
      <c r="E3" s="144"/>
      <c r="F3" s="144"/>
      <c r="G3" s="144"/>
      <c r="H3" s="144"/>
      <c r="I3" s="144"/>
      <c r="J3" s="144"/>
      <c r="K3" s="144"/>
    </row>
    <row r="4" spans="1:11" s="14" customFormat="1" ht="22.05" customHeight="1">
      <c r="A4" s="145" t="s">
        <v>64</v>
      </c>
      <c r="B4" s="145"/>
      <c r="C4" s="146" t="s">
        <v>65</v>
      </c>
      <c r="D4" s="146"/>
      <c r="E4" s="146"/>
      <c r="F4" s="146"/>
      <c r="G4" s="146"/>
      <c r="H4" s="146"/>
      <c r="I4" s="146"/>
      <c r="J4" s="146"/>
      <c r="K4" s="146"/>
    </row>
    <row r="5" spans="1:11" s="14" customFormat="1" ht="33" customHeight="1">
      <c r="A5" s="145"/>
      <c r="B5" s="145"/>
      <c r="C5" s="147" t="s">
        <v>66</v>
      </c>
      <c r="D5" s="147"/>
      <c r="E5" s="147"/>
      <c r="F5" s="147"/>
      <c r="G5" s="147"/>
      <c r="H5" s="147"/>
      <c r="I5" s="147"/>
      <c r="J5" s="147"/>
      <c r="K5" s="147"/>
    </row>
    <row r="6" spans="1:11" s="14" customFormat="1" ht="37.15" customHeight="1">
      <c r="A6" s="145"/>
      <c r="B6" s="145"/>
      <c r="C6" s="147" t="s">
        <v>67</v>
      </c>
      <c r="D6" s="147"/>
      <c r="E6" s="147"/>
      <c r="F6" s="147"/>
      <c r="G6" s="147"/>
      <c r="H6" s="147"/>
      <c r="I6" s="147"/>
      <c r="J6" s="147"/>
      <c r="K6" s="147"/>
    </row>
    <row r="7" spans="1:11" s="14" customFormat="1" ht="20" customHeight="1">
      <c r="A7" s="11"/>
      <c r="B7" s="12"/>
      <c r="C7" s="19"/>
      <c r="D7" s="20"/>
      <c r="E7" s="12"/>
      <c r="F7" s="21"/>
      <c r="G7" s="19"/>
      <c r="H7" s="19"/>
      <c r="I7" s="22"/>
      <c r="J7" s="22"/>
      <c r="K7" s="22"/>
    </row>
    <row r="8" spans="1:11" s="14" customFormat="1" ht="17.25" customHeight="1">
      <c r="A8" s="110" t="s">
        <v>70</v>
      </c>
      <c r="B8" s="110"/>
      <c r="C8" s="110"/>
      <c r="D8" s="110"/>
      <c r="E8" s="32" t="s">
        <v>71</v>
      </c>
      <c r="F8" s="139" t="s">
        <v>86</v>
      </c>
      <c r="G8" s="140"/>
      <c r="H8" s="60" t="s">
        <v>81</v>
      </c>
      <c r="I8" s="111" t="s">
        <v>68</v>
      </c>
      <c r="J8" s="111"/>
      <c r="K8" s="32" t="s">
        <v>69</v>
      </c>
    </row>
    <row r="9" spans="1:11" s="14" customFormat="1" ht="17.25" customHeight="1">
      <c r="A9" s="130" t="s">
        <v>72</v>
      </c>
      <c r="B9" s="131"/>
      <c r="C9" s="131"/>
      <c r="D9" s="131"/>
      <c r="E9" s="131"/>
      <c r="F9" s="131"/>
      <c r="G9" s="131"/>
      <c r="H9" s="131"/>
      <c r="I9" s="131"/>
      <c r="J9" s="131"/>
      <c r="K9" s="131"/>
    </row>
    <row r="10" spans="1:11" s="14" customFormat="1" ht="17.25" customHeight="1">
      <c r="A10" s="114" t="s">
        <v>32</v>
      </c>
      <c r="B10" s="114"/>
      <c r="C10" s="114"/>
      <c r="D10" s="114"/>
      <c r="E10" s="62" t="s">
        <v>75</v>
      </c>
      <c r="F10" s="137">
        <v>58896</v>
      </c>
      <c r="G10" s="137"/>
      <c r="H10" s="66">
        <v>4</v>
      </c>
      <c r="I10" s="98">
        <f>F10*H10</f>
        <v>235584</v>
      </c>
      <c r="J10" s="98"/>
      <c r="K10" s="39">
        <f>F10*H10*3</f>
        <v>706752</v>
      </c>
    </row>
    <row r="11" spans="1:11" s="14" customFormat="1" ht="17.25" customHeight="1">
      <c r="A11" s="114" t="s">
        <v>38</v>
      </c>
      <c r="B11" s="114"/>
      <c r="C11" s="114"/>
      <c r="D11" s="114"/>
      <c r="E11" s="65" t="s">
        <v>84</v>
      </c>
      <c r="F11" s="132">
        <v>21620</v>
      </c>
      <c r="G11" s="133"/>
      <c r="H11" s="66">
        <v>60</v>
      </c>
      <c r="I11" s="98">
        <f t="shared" ref="I11:I12" si="0">F11*H11</f>
        <v>1297200</v>
      </c>
      <c r="J11" s="98"/>
      <c r="K11" s="39">
        <f t="shared" ref="K11:K12" si="1">F11*H11*3</f>
        <v>3891600</v>
      </c>
    </row>
    <row r="12" spans="1:11" s="14" customFormat="1" ht="17.25" customHeight="1">
      <c r="A12" s="114" t="s">
        <v>85</v>
      </c>
      <c r="B12" s="114"/>
      <c r="C12" s="114"/>
      <c r="D12" s="114"/>
      <c r="E12" s="62" t="s">
        <v>76</v>
      </c>
      <c r="F12" s="132">
        <v>67091</v>
      </c>
      <c r="G12" s="133"/>
      <c r="H12" s="66">
        <v>20</v>
      </c>
      <c r="I12" s="98">
        <f t="shared" si="0"/>
        <v>1341820</v>
      </c>
      <c r="J12" s="98"/>
      <c r="K12" s="39">
        <f t="shared" si="1"/>
        <v>4025460</v>
      </c>
    </row>
    <row r="13" spans="1:11" s="14" customFormat="1" ht="17.25" customHeight="1">
      <c r="A13" s="114" t="s">
        <v>78</v>
      </c>
      <c r="B13" s="114"/>
      <c r="C13" s="114"/>
      <c r="D13" s="114"/>
      <c r="E13" s="122" t="s">
        <v>87</v>
      </c>
      <c r="F13" s="123"/>
      <c r="G13" s="123"/>
      <c r="H13" s="124"/>
      <c r="I13" s="138">
        <v>1000000</v>
      </c>
      <c r="J13" s="138"/>
      <c r="K13" s="36" t="s">
        <v>88</v>
      </c>
    </row>
    <row r="14" spans="1:11" s="14" customFormat="1" ht="17.25" customHeight="1">
      <c r="A14" s="121" t="s">
        <v>79</v>
      </c>
      <c r="B14" s="114"/>
      <c r="C14" s="114"/>
      <c r="D14" s="114"/>
      <c r="E14" s="63" t="s">
        <v>77</v>
      </c>
      <c r="F14" s="132">
        <v>47034</v>
      </c>
      <c r="G14" s="133"/>
      <c r="H14" s="66">
        <v>20</v>
      </c>
      <c r="I14" s="98">
        <f t="shared" ref="I14:I16" si="2">F14*H14</f>
        <v>940680</v>
      </c>
      <c r="J14" s="98"/>
      <c r="K14" s="39">
        <f t="shared" ref="K14:K16" si="3">F14*H14*3</f>
        <v>2822040</v>
      </c>
    </row>
    <row r="15" spans="1:11" s="14" customFormat="1" ht="27" customHeight="1">
      <c r="A15" s="121" t="s">
        <v>79</v>
      </c>
      <c r="B15" s="114"/>
      <c r="C15" s="114"/>
      <c r="D15" s="114"/>
      <c r="E15" s="63" t="s">
        <v>77</v>
      </c>
      <c r="F15" s="132">
        <v>47034</v>
      </c>
      <c r="G15" s="133"/>
      <c r="H15" s="66">
        <v>20</v>
      </c>
      <c r="I15" s="98">
        <f t="shared" si="2"/>
        <v>940680</v>
      </c>
      <c r="J15" s="98"/>
      <c r="K15" s="39">
        <f t="shared" si="3"/>
        <v>2822040</v>
      </c>
    </row>
    <row r="16" spans="1:11" s="14" customFormat="1" ht="17.25" customHeight="1">
      <c r="A16" s="134" t="s">
        <v>33</v>
      </c>
      <c r="B16" s="135"/>
      <c r="C16" s="135"/>
      <c r="D16" s="136"/>
      <c r="E16" s="62" t="s">
        <v>75</v>
      </c>
      <c r="F16" s="137">
        <v>58896</v>
      </c>
      <c r="G16" s="137"/>
      <c r="H16" s="66">
        <v>4</v>
      </c>
      <c r="I16" s="98">
        <f t="shared" si="2"/>
        <v>235584</v>
      </c>
      <c r="J16" s="98"/>
      <c r="K16" s="39">
        <f t="shared" si="3"/>
        <v>706752</v>
      </c>
    </row>
    <row r="17" spans="1:11" s="14" customFormat="1" ht="17.25" customHeight="1">
      <c r="A17" s="130" t="s">
        <v>83</v>
      </c>
      <c r="B17" s="131"/>
      <c r="C17" s="131"/>
      <c r="D17" s="131"/>
      <c r="E17" s="131"/>
      <c r="F17" s="131"/>
      <c r="G17" s="131"/>
      <c r="H17" s="131"/>
      <c r="I17" s="131"/>
      <c r="J17" s="131"/>
      <c r="K17" s="131"/>
    </row>
    <row r="18" spans="1:11" s="14" customFormat="1" ht="17.25" customHeight="1">
      <c r="A18" s="114" t="s">
        <v>36</v>
      </c>
      <c r="B18" s="114"/>
      <c r="C18" s="114"/>
      <c r="D18" s="114"/>
      <c r="E18" s="64" t="s">
        <v>80</v>
      </c>
      <c r="F18" s="125">
        <v>70324</v>
      </c>
      <c r="G18" s="126"/>
      <c r="H18" s="61">
        <v>8</v>
      </c>
      <c r="I18" s="98">
        <f t="shared" ref="I18:I19" si="4">F18*H18</f>
        <v>562592</v>
      </c>
      <c r="J18" s="98"/>
      <c r="K18" s="39">
        <f t="shared" ref="K18:K19" si="5">F18*H18*3</f>
        <v>1687776</v>
      </c>
    </row>
    <row r="19" spans="1:11" s="14" customFormat="1" ht="23.35" customHeight="1">
      <c r="A19" s="121" t="s">
        <v>73</v>
      </c>
      <c r="B19" s="114"/>
      <c r="C19" s="114"/>
      <c r="D19" s="114"/>
      <c r="E19" s="64" t="s">
        <v>82</v>
      </c>
      <c r="F19" s="125">
        <v>70324</v>
      </c>
      <c r="G19" s="126"/>
      <c r="H19" s="61">
        <v>20</v>
      </c>
      <c r="I19" s="98">
        <f t="shared" si="4"/>
        <v>1406480</v>
      </c>
      <c r="J19" s="98"/>
      <c r="K19" s="39">
        <f t="shared" si="5"/>
        <v>4219440</v>
      </c>
    </row>
    <row r="20" spans="1:11" s="14" customFormat="1" ht="23.35" customHeight="1">
      <c r="A20" s="121" t="s">
        <v>74</v>
      </c>
      <c r="B20" s="114"/>
      <c r="C20" s="114"/>
      <c r="D20" s="114"/>
      <c r="E20" s="122" t="s">
        <v>87</v>
      </c>
      <c r="F20" s="123"/>
      <c r="G20" s="123"/>
      <c r="H20" s="124"/>
      <c r="I20" s="98">
        <v>500000</v>
      </c>
      <c r="J20" s="98"/>
      <c r="K20" s="59"/>
    </row>
    <row r="21" spans="1:11" s="14" customFormat="1" ht="17.25" customHeight="1">
      <c r="A21" s="114" t="s">
        <v>37</v>
      </c>
      <c r="B21" s="114"/>
      <c r="C21" s="114"/>
      <c r="D21" s="114"/>
      <c r="E21" s="64" t="s">
        <v>77</v>
      </c>
      <c r="F21" s="125">
        <v>47034</v>
      </c>
      <c r="G21" s="126"/>
      <c r="H21" s="61">
        <v>8</v>
      </c>
      <c r="I21" s="98">
        <f t="shared" ref="I21:I22" si="6">F21*H21</f>
        <v>376272</v>
      </c>
      <c r="J21" s="98"/>
      <c r="K21" s="39">
        <f t="shared" ref="K21:K22" si="7">F21*H21*3</f>
        <v>1128816</v>
      </c>
    </row>
    <row r="22" spans="1:11" s="14" customFormat="1" ht="17.25" customHeight="1">
      <c r="A22" s="114" t="s">
        <v>33</v>
      </c>
      <c r="B22" s="114"/>
      <c r="C22" s="114"/>
      <c r="D22" s="114"/>
      <c r="E22" s="62" t="s">
        <v>75</v>
      </c>
      <c r="F22" s="127">
        <v>58896</v>
      </c>
      <c r="G22" s="127"/>
      <c r="H22" s="61">
        <v>4</v>
      </c>
      <c r="I22" s="98">
        <f t="shared" si="6"/>
        <v>235584</v>
      </c>
      <c r="J22" s="98"/>
      <c r="K22" s="39">
        <f t="shared" si="7"/>
        <v>706752</v>
      </c>
    </row>
    <row r="23" spans="1:11" s="14" customFormat="1" ht="48" customHeight="1">
      <c r="A23" s="128" t="s">
        <v>89</v>
      </c>
      <c r="B23" s="129"/>
      <c r="C23" s="129"/>
      <c r="D23" s="129"/>
      <c r="E23" s="129"/>
      <c r="F23" s="129"/>
      <c r="G23" s="129"/>
      <c r="H23" s="129"/>
      <c r="I23" s="129"/>
      <c r="J23" s="129"/>
      <c r="K23" s="129"/>
    </row>
    <row r="24" spans="1:11" s="14" customFormat="1" ht="28.05" customHeight="1">
      <c r="A24" s="11"/>
      <c r="B24" s="48"/>
      <c r="C24" s="48"/>
      <c r="E24" s="85"/>
      <c r="F24" s="85"/>
      <c r="G24" s="85"/>
      <c r="H24" s="52"/>
      <c r="J24" s="52"/>
      <c r="K24" s="52"/>
    </row>
    <row r="25" spans="1:11" s="14" customFormat="1" ht="98.65" customHeight="1">
      <c r="A25" s="53"/>
      <c r="B25" s="49"/>
      <c r="C25" s="49"/>
      <c r="D25" s="54"/>
      <c r="E25" s="85" t="s">
        <v>9</v>
      </c>
      <c r="F25" s="85"/>
      <c r="G25" s="85"/>
      <c r="H25" s="52" t="s">
        <v>23</v>
      </c>
      <c r="I25" s="54"/>
      <c r="J25" s="54"/>
      <c r="K25" s="54"/>
    </row>
    <row r="26" spans="1:11" s="14" customFormat="1" ht="20" customHeight="1"/>
    <row r="27" spans="1:11" s="14" customFormat="1" ht="20" customHeight="1"/>
    <row r="28" spans="1:11" s="14" customFormat="1" ht="20" customHeight="1"/>
    <row r="29" spans="1:11" s="14" customFormat="1" ht="25.5" customHeight="1"/>
    <row r="30" spans="1:11" s="14" customFormat="1" ht="27.75" customHeight="1"/>
    <row r="31" spans="1:11" s="14" customFormat="1" ht="15.75">
      <c r="E31" s="56"/>
      <c r="I31" s="15"/>
      <c r="J31" s="15"/>
      <c r="K31" s="15"/>
    </row>
    <row r="32" spans="1:11" s="14" customFormat="1" ht="15.75">
      <c r="E32" s="56"/>
      <c r="I32" s="15"/>
      <c r="J32" s="15"/>
      <c r="K32" s="15"/>
    </row>
    <row r="33" spans="5:11" s="14" customFormat="1" ht="15.75">
      <c r="E33" s="56"/>
      <c r="I33" s="15"/>
      <c r="J33" s="15"/>
      <c r="K33" s="15"/>
    </row>
    <row r="34" spans="5:11" s="14" customFormat="1" ht="15.75">
      <c r="E34" s="56"/>
      <c r="I34" s="15"/>
      <c r="J34" s="15"/>
      <c r="K34" s="15"/>
    </row>
    <row r="35" spans="5:11" s="14" customFormat="1" ht="15.75">
      <c r="E35" s="56"/>
      <c r="I35" s="15"/>
      <c r="J35" s="15"/>
      <c r="K35" s="15"/>
    </row>
    <row r="36" spans="5:11" s="14" customFormat="1" ht="15.75">
      <c r="E36" s="56"/>
      <c r="I36" s="15"/>
      <c r="J36" s="15"/>
      <c r="K36" s="15"/>
    </row>
    <row r="37" spans="5:11" s="14" customFormat="1" ht="15.75">
      <c r="E37" s="56"/>
      <c r="I37" s="15"/>
      <c r="J37" s="15"/>
      <c r="K37" s="15"/>
    </row>
    <row r="38" spans="5:11" s="14" customFormat="1" ht="15.75">
      <c r="E38" s="56"/>
      <c r="I38" s="15"/>
      <c r="J38" s="15"/>
      <c r="K38" s="15"/>
    </row>
    <row r="39" spans="5:11" s="14" customFormat="1" ht="15.75">
      <c r="E39" s="56"/>
      <c r="I39" s="15"/>
      <c r="J39" s="15"/>
      <c r="K39" s="15"/>
    </row>
    <row r="40" spans="5:11" s="14" customFormat="1" ht="15.75">
      <c r="E40" s="56"/>
      <c r="I40" s="15"/>
      <c r="J40" s="15"/>
      <c r="K40" s="15"/>
    </row>
    <row r="41" spans="5:11" s="14" customFormat="1" ht="15.75">
      <c r="E41" s="56"/>
      <c r="I41" s="15"/>
      <c r="J41" s="15"/>
      <c r="K41" s="15"/>
    </row>
    <row r="42" spans="5:11" s="14" customFormat="1" ht="15.75">
      <c r="E42" s="56"/>
      <c r="I42" s="15"/>
      <c r="J42" s="15"/>
      <c r="K42" s="15"/>
    </row>
    <row r="43" spans="5:11" s="14" customFormat="1" ht="15.75">
      <c r="E43" s="56"/>
      <c r="I43" s="15"/>
      <c r="J43" s="15"/>
      <c r="K43" s="15"/>
    </row>
    <row r="44" spans="5:11" s="14" customFormat="1" ht="15.75">
      <c r="E44" s="56"/>
      <c r="I44" s="15"/>
      <c r="J44" s="15"/>
      <c r="K44" s="15"/>
    </row>
    <row r="45" spans="5:11" s="14" customFormat="1" ht="15.75">
      <c r="E45" s="56"/>
      <c r="I45" s="15"/>
      <c r="J45" s="15"/>
      <c r="K45" s="15"/>
    </row>
    <row r="46" spans="5:11" s="14" customFormat="1" ht="15.75">
      <c r="E46" s="56"/>
      <c r="I46" s="15"/>
      <c r="J46" s="15"/>
      <c r="K46" s="15"/>
    </row>
    <row r="47" spans="5:11" s="14" customFormat="1" ht="15.75">
      <c r="E47" s="56"/>
      <c r="I47" s="15"/>
      <c r="J47" s="15"/>
      <c r="K47" s="15"/>
    </row>
    <row r="48" spans="5:11" s="14" customFormat="1" ht="15.75">
      <c r="E48" s="56"/>
      <c r="I48" s="15"/>
      <c r="J48" s="15"/>
      <c r="K48" s="15"/>
    </row>
    <row r="49" spans="5:11" s="14" customFormat="1" ht="15.75">
      <c r="E49" s="56"/>
      <c r="I49" s="15"/>
      <c r="J49" s="15"/>
      <c r="K49" s="15"/>
    </row>
    <row r="50" spans="5:11" s="14" customFormat="1" ht="15.75">
      <c r="E50" s="56"/>
      <c r="I50" s="15"/>
      <c r="J50" s="15"/>
      <c r="K50" s="15"/>
    </row>
    <row r="51" spans="5:11" s="14" customFormat="1" ht="15.75">
      <c r="E51" s="56"/>
      <c r="I51" s="15"/>
      <c r="J51" s="15"/>
      <c r="K51" s="15"/>
    </row>
    <row r="52" spans="5:11" s="14" customFormat="1" ht="15.75">
      <c r="E52" s="56"/>
      <c r="I52" s="15"/>
      <c r="J52" s="15"/>
      <c r="K52" s="15"/>
    </row>
    <row r="53" spans="5:11" s="14" customFormat="1" ht="15.75">
      <c r="E53" s="56"/>
      <c r="I53" s="15"/>
      <c r="J53" s="15"/>
      <c r="K53" s="15"/>
    </row>
    <row r="54" spans="5:11" s="14" customFormat="1" ht="15.75">
      <c r="E54" s="56"/>
      <c r="I54" s="15"/>
      <c r="J54" s="15"/>
      <c r="K54" s="15"/>
    </row>
    <row r="55" spans="5:11" s="14" customFormat="1" ht="15.75">
      <c r="E55" s="56"/>
      <c r="I55" s="15"/>
      <c r="J55" s="15"/>
      <c r="K55" s="15"/>
    </row>
    <row r="56" spans="5:11" s="14" customFormat="1" ht="15.75">
      <c r="E56" s="56"/>
      <c r="I56" s="15"/>
      <c r="J56" s="15"/>
      <c r="K56" s="15"/>
    </row>
    <row r="57" spans="5:11" s="14" customFormat="1" ht="15.75">
      <c r="E57" s="56"/>
      <c r="I57" s="15"/>
      <c r="J57" s="15"/>
      <c r="K57" s="15"/>
    </row>
    <row r="58" spans="5:11" s="14" customFormat="1" ht="15.75">
      <c r="E58" s="56"/>
      <c r="I58" s="15"/>
      <c r="J58" s="15"/>
      <c r="K58" s="15"/>
    </row>
    <row r="59" spans="5:11" s="14" customFormat="1" ht="15.75">
      <c r="E59" s="56"/>
      <c r="I59" s="15"/>
      <c r="J59" s="15"/>
      <c r="K59" s="15"/>
    </row>
    <row r="60" spans="5:11" s="14" customFormat="1" ht="15.75">
      <c r="E60" s="56"/>
      <c r="I60" s="15"/>
      <c r="J60" s="15"/>
      <c r="K60" s="15"/>
    </row>
    <row r="61" spans="5:11" s="14" customFormat="1" ht="15.75">
      <c r="E61" s="56"/>
      <c r="I61" s="15"/>
      <c r="J61" s="15"/>
      <c r="K61" s="15"/>
    </row>
    <row r="62" spans="5:11" s="14" customFormat="1" ht="15.75">
      <c r="E62" s="56"/>
      <c r="I62" s="15"/>
      <c r="J62" s="15"/>
      <c r="K62" s="15"/>
    </row>
    <row r="63" spans="5:11" s="14" customFormat="1" ht="15.75">
      <c r="E63" s="56"/>
      <c r="I63" s="15"/>
      <c r="J63" s="15"/>
      <c r="K63" s="15"/>
    </row>
    <row r="64" spans="5:11" s="14" customFormat="1" ht="15.75">
      <c r="E64" s="56"/>
      <c r="I64" s="15"/>
      <c r="J64" s="15"/>
      <c r="K64" s="15"/>
    </row>
    <row r="65" spans="5:11" s="14" customFormat="1" ht="15.75">
      <c r="E65" s="56"/>
      <c r="I65" s="15"/>
      <c r="J65" s="15"/>
      <c r="K65" s="15"/>
    </row>
    <row r="66" spans="5:11" s="14" customFormat="1" ht="15.75">
      <c r="E66" s="56"/>
      <c r="I66" s="15"/>
      <c r="J66" s="15"/>
      <c r="K66" s="15"/>
    </row>
    <row r="67" spans="5:11" s="14" customFormat="1" ht="15.75">
      <c r="E67" s="56"/>
      <c r="I67" s="15"/>
      <c r="J67" s="15"/>
      <c r="K67" s="15"/>
    </row>
    <row r="68" spans="5:11" s="14" customFormat="1" ht="15.75">
      <c r="E68" s="56"/>
      <c r="I68" s="15"/>
      <c r="J68" s="15"/>
      <c r="K68" s="15"/>
    </row>
    <row r="69" spans="5:11" s="14" customFormat="1" ht="15.75">
      <c r="E69" s="56"/>
      <c r="I69" s="15"/>
      <c r="J69" s="15"/>
      <c r="K69" s="15"/>
    </row>
    <row r="70" spans="5:11" s="14" customFormat="1" ht="15.75">
      <c r="E70" s="56"/>
      <c r="I70" s="15"/>
      <c r="J70" s="15"/>
      <c r="K70" s="15"/>
    </row>
    <row r="71" spans="5:11" s="14" customFormat="1" ht="15.75">
      <c r="E71" s="56"/>
      <c r="I71" s="15"/>
      <c r="J71" s="15"/>
      <c r="K71" s="15"/>
    </row>
    <row r="72" spans="5:11" s="14" customFormat="1" ht="15.75">
      <c r="E72" s="56"/>
      <c r="I72" s="15"/>
      <c r="J72" s="15"/>
      <c r="K72" s="15"/>
    </row>
    <row r="73" spans="5:11" s="14" customFormat="1" ht="15.75">
      <c r="E73" s="56"/>
      <c r="I73" s="15"/>
      <c r="J73" s="15"/>
      <c r="K73" s="15"/>
    </row>
    <row r="74" spans="5:11" s="14" customFormat="1" ht="15.75">
      <c r="E74" s="56"/>
      <c r="I74" s="15"/>
      <c r="J74" s="15"/>
      <c r="K74" s="15"/>
    </row>
    <row r="75" spans="5:11" s="14" customFormat="1" ht="15.75">
      <c r="E75" s="56"/>
      <c r="I75" s="15"/>
      <c r="J75" s="15"/>
      <c r="K75" s="15"/>
    </row>
    <row r="76" spans="5:11" s="14" customFormat="1" ht="15.75">
      <c r="E76" s="56"/>
      <c r="I76" s="15"/>
      <c r="J76" s="15"/>
      <c r="K76" s="15"/>
    </row>
    <row r="77" spans="5:11" s="14" customFormat="1" ht="15.75">
      <c r="E77" s="56"/>
      <c r="I77" s="15"/>
      <c r="J77" s="15"/>
      <c r="K77" s="15"/>
    </row>
    <row r="78" spans="5:11" s="14" customFormat="1" ht="15.75">
      <c r="E78" s="56"/>
      <c r="I78" s="15"/>
      <c r="J78" s="15"/>
      <c r="K78" s="15"/>
    </row>
    <row r="79" spans="5:11" s="14" customFormat="1" ht="15.75">
      <c r="E79" s="56"/>
      <c r="I79" s="15"/>
      <c r="J79" s="15"/>
      <c r="K79" s="15"/>
    </row>
    <row r="80" spans="5:11" s="14" customFormat="1" ht="15.75">
      <c r="E80" s="56"/>
      <c r="I80" s="15"/>
      <c r="J80" s="15"/>
      <c r="K80" s="15"/>
    </row>
    <row r="81" spans="5:11" s="14" customFormat="1" ht="15.75">
      <c r="E81" s="56"/>
      <c r="I81" s="15"/>
      <c r="J81" s="15"/>
      <c r="K81" s="15"/>
    </row>
    <row r="82" spans="5:11" s="14" customFormat="1" ht="15.75">
      <c r="E82" s="56"/>
      <c r="I82" s="15"/>
      <c r="J82" s="15"/>
      <c r="K82" s="15"/>
    </row>
    <row r="83" spans="5:11" s="14" customFormat="1" ht="15.75">
      <c r="E83" s="56"/>
      <c r="I83" s="15"/>
      <c r="J83" s="15"/>
      <c r="K83" s="15"/>
    </row>
    <row r="84" spans="5:11" s="14" customFormat="1" ht="15.75">
      <c r="E84" s="56"/>
      <c r="I84" s="15"/>
      <c r="J84" s="15"/>
      <c r="K84" s="15"/>
    </row>
    <row r="85" spans="5:11" s="14" customFormat="1" ht="15.75">
      <c r="E85" s="56"/>
      <c r="I85" s="15"/>
      <c r="J85" s="15"/>
      <c r="K85" s="15"/>
    </row>
    <row r="86" spans="5:11" s="14" customFormat="1" ht="15.75">
      <c r="E86" s="56"/>
      <c r="I86" s="15"/>
      <c r="J86" s="15"/>
      <c r="K86" s="15"/>
    </row>
    <row r="87" spans="5:11" s="14" customFormat="1" ht="15.75">
      <c r="E87" s="56"/>
      <c r="I87" s="15"/>
      <c r="J87" s="15"/>
      <c r="K87" s="15"/>
    </row>
    <row r="88" spans="5:11" s="14" customFormat="1" ht="15.75">
      <c r="I88" s="15"/>
      <c r="J88" s="15"/>
      <c r="K88" s="15"/>
    </row>
    <row r="89" spans="5:11" s="14" customFormat="1" ht="15.75">
      <c r="I89" s="15"/>
      <c r="J89" s="15"/>
      <c r="K89" s="15"/>
    </row>
    <row r="90" spans="5:11" s="14" customFormat="1" ht="15.75">
      <c r="I90" s="15"/>
      <c r="J90" s="15"/>
      <c r="K90" s="15"/>
    </row>
    <row r="91" spans="5:11" s="14" customFormat="1" ht="15.75">
      <c r="I91" s="15"/>
      <c r="J91" s="15"/>
      <c r="K91" s="15"/>
    </row>
    <row r="92" spans="5:11" s="14" customFormat="1" ht="15.75">
      <c r="I92" s="15"/>
      <c r="J92" s="15"/>
      <c r="K92" s="15"/>
    </row>
    <row r="93" spans="5:11" s="14" customFormat="1" ht="15.75">
      <c r="I93" s="15"/>
      <c r="J93" s="15"/>
      <c r="K93" s="15"/>
    </row>
    <row r="94" spans="5:11" s="14" customFormat="1" ht="15.75">
      <c r="I94" s="15"/>
      <c r="J94" s="15"/>
      <c r="K94" s="15"/>
    </row>
    <row r="95" spans="5:11" s="14" customFormat="1" ht="15.75">
      <c r="I95" s="15"/>
      <c r="J95" s="15"/>
      <c r="K95" s="15"/>
    </row>
    <row r="96" spans="5:11" s="14" customFormat="1" ht="15.75">
      <c r="I96" s="15"/>
      <c r="J96" s="15"/>
      <c r="K96" s="15"/>
    </row>
    <row r="97" spans="9:11" s="14" customFormat="1" ht="15.75">
      <c r="I97" s="15"/>
      <c r="J97" s="15"/>
      <c r="K97" s="15"/>
    </row>
    <row r="98" spans="9:11" s="14" customFormat="1" ht="15.75">
      <c r="I98" s="15"/>
      <c r="J98" s="15"/>
      <c r="K98" s="15"/>
    </row>
    <row r="99" spans="9:11" s="14" customFormat="1" ht="15.75">
      <c r="I99" s="15"/>
      <c r="J99" s="15"/>
      <c r="K99" s="15"/>
    </row>
    <row r="100" spans="9:11" s="14" customFormat="1" ht="15.75">
      <c r="I100" s="15"/>
      <c r="J100" s="15"/>
      <c r="K100" s="15"/>
    </row>
    <row r="101" spans="9:11" s="14" customFormat="1" ht="15.75">
      <c r="I101" s="15"/>
      <c r="J101" s="15"/>
      <c r="K101" s="15"/>
    </row>
    <row r="102" spans="9:11" s="14" customFormat="1" ht="15.75">
      <c r="I102" s="15"/>
      <c r="J102" s="15"/>
      <c r="K102" s="15"/>
    </row>
    <row r="103" spans="9:11" s="14" customFormat="1" ht="15.75">
      <c r="I103" s="15"/>
      <c r="J103" s="15"/>
      <c r="K103" s="15"/>
    </row>
    <row r="104" spans="9:11" s="14" customFormat="1" ht="15.75"/>
    <row r="105" spans="9:11" s="14" customFormat="1" ht="15.75"/>
    <row r="106" spans="9:11" s="14" customFormat="1" ht="15.75"/>
    <row r="107" spans="9:11" s="14" customFormat="1" ht="15.75"/>
    <row r="108" spans="9:11" s="14" customFormat="1" ht="15.75"/>
    <row r="109" spans="9:11" s="14" customFormat="1" ht="15.75"/>
    <row r="110" spans="9:11" s="14" customFormat="1" ht="15.75"/>
    <row r="111" spans="9:11" s="14" customFormat="1" ht="15.75"/>
    <row r="112" spans="9:11" s="14" customFormat="1" ht="15.75"/>
    <row r="113" s="14" customFormat="1" ht="15.75"/>
    <row r="114" s="14" customFormat="1" ht="15.75"/>
    <row r="115" s="14" customFormat="1" ht="15.75"/>
    <row r="116" s="14" customFormat="1" ht="15.75"/>
    <row r="117" s="14" customFormat="1" ht="15.75"/>
    <row r="118" s="14" customFormat="1" ht="15.75"/>
    <row r="119" s="14" customFormat="1" ht="15.75"/>
    <row r="120" s="14" customFormat="1" ht="15.75"/>
    <row r="121" s="14" customFormat="1" ht="15.75"/>
    <row r="122" s="14" customFormat="1" ht="15.75"/>
    <row r="123" s="14" customFormat="1" ht="15.75"/>
    <row r="124" s="14" customFormat="1" ht="15.75"/>
    <row r="125" s="14" customFormat="1" ht="15.75"/>
    <row r="126" s="14" customFormat="1" ht="15.75"/>
    <row r="127" s="14" customFormat="1" ht="15.75"/>
    <row r="128" s="14" customFormat="1" ht="15.75"/>
    <row r="129" s="14" customFormat="1" ht="15.75"/>
    <row r="130" s="14" customFormat="1" ht="15.75"/>
    <row r="131" s="14" customFormat="1" ht="15.75"/>
    <row r="132" s="14" customFormat="1" ht="15.75"/>
    <row r="133" s="14" customFormat="1" ht="15.75"/>
    <row r="134" s="14" customFormat="1" ht="15.75"/>
    <row r="135" s="14" customFormat="1" ht="15.75"/>
    <row r="136" s="14" customFormat="1" ht="15.75"/>
    <row r="137" s="14" customFormat="1" ht="15.75"/>
    <row r="138" s="14" customFormat="1" ht="15.75"/>
    <row r="139" s="14" customFormat="1" ht="15.75"/>
    <row r="140" s="14" customFormat="1" ht="15.75"/>
    <row r="141" s="14" customFormat="1" ht="15.75"/>
    <row r="142" s="14" customFormat="1" ht="15.75"/>
    <row r="143" s="14" customFormat="1" ht="15.75"/>
    <row r="144" s="14" customFormat="1" ht="15.75"/>
    <row r="145" s="14" customFormat="1" ht="15.75"/>
    <row r="146" s="14" customFormat="1" ht="15.75"/>
    <row r="147" s="14" customFormat="1" ht="15.75"/>
    <row r="148" s="14" customFormat="1" ht="15.75"/>
    <row r="149" s="14" customFormat="1" ht="15.75"/>
    <row r="150" s="14" customFormat="1" ht="15.75"/>
    <row r="151" s="14" customFormat="1" ht="15.75"/>
    <row r="152" s="14" customFormat="1" ht="15.75"/>
    <row r="153" s="14" customFormat="1" ht="15.75"/>
    <row r="154" s="14" customFormat="1" ht="15.75"/>
    <row r="155" s="14" customFormat="1" ht="15.75"/>
    <row r="156" s="14" customFormat="1" ht="15.75"/>
    <row r="157" s="14" customFormat="1" ht="15.75"/>
    <row r="158" s="14" customFormat="1" ht="15.75"/>
    <row r="159" s="14" customFormat="1" ht="15.75"/>
    <row r="160" s="14" customFormat="1" ht="15.75"/>
    <row r="161" s="14" customFormat="1" ht="15.75"/>
    <row r="162" s="14" customFormat="1" ht="15.75"/>
    <row r="163" s="14" customFormat="1" ht="15.75"/>
    <row r="164" s="14" customFormat="1" ht="15.75"/>
    <row r="165" s="14" customFormat="1" ht="15.75"/>
    <row r="166" s="14" customFormat="1" ht="15.75"/>
    <row r="167" s="14" customFormat="1" ht="15.75"/>
    <row r="168" s="14" customFormat="1" ht="15.75"/>
    <row r="169" s="14" customFormat="1" ht="15.75"/>
    <row r="170" s="14" customFormat="1" ht="15.75"/>
  </sheetData>
  <mergeCells count="50">
    <mergeCell ref="A2:K2"/>
    <mergeCell ref="A3:K3"/>
    <mergeCell ref="A4:B6"/>
    <mergeCell ref="C4:K4"/>
    <mergeCell ref="C5:K5"/>
    <mergeCell ref="C6:K6"/>
    <mergeCell ref="A8:D8"/>
    <mergeCell ref="F8:G8"/>
    <mergeCell ref="I8:J8"/>
    <mergeCell ref="A9:K9"/>
    <mergeCell ref="A10:D10"/>
    <mergeCell ref="F10:G10"/>
    <mergeCell ref="I10:J10"/>
    <mergeCell ref="A11:D11"/>
    <mergeCell ref="F11:G11"/>
    <mergeCell ref="I11:J11"/>
    <mergeCell ref="A12:D12"/>
    <mergeCell ref="F12:G12"/>
    <mergeCell ref="I12:J12"/>
    <mergeCell ref="A13:D13"/>
    <mergeCell ref="E13:H13"/>
    <mergeCell ref="I13:J13"/>
    <mergeCell ref="A14:D14"/>
    <mergeCell ref="F14:G14"/>
    <mergeCell ref="I14:J14"/>
    <mergeCell ref="A15:D15"/>
    <mergeCell ref="F15:G15"/>
    <mergeCell ref="I15:J15"/>
    <mergeCell ref="A16:D16"/>
    <mergeCell ref="F16:G16"/>
    <mergeCell ref="I16:J16"/>
    <mergeCell ref="A17:K17"/>
    <mergeCell ref="A18:D18"/>
    <mergeCell ref="F18:G18"/>
    <mergeCell ref="I18:J18"/>
    <mergeCell ref="A19:D19"/>
    <mergeCell ref="F19:G19"/>
    <mergeCell ref="I19:J19"/>
    <mergeCell ref="E25:G25"/>
    <mergeCell ref="A20:D20"/>
    <mergeCell ref="E20:H20"/>
    <mergeCell ref="I20:J20"/>
    <mergeCell ref="A21:D21"/>
    <mergeCell ref="F21:G21"/>
    <mergeCell ref="I21:J21"/>
    <mergeCell ref="A22:D22"/>
    <mergeCell ref="F22:G22"/>
    <mergeCell ref="I22:J22"/>
    <mergeCell ref="A23:K23"/>
    <mergeCell ref="E24:G24"/>
  </mergeCells>
  <phoneticPr fontId="20" type="noConversion"/>
  <printOptions gridLinesSet="0"/>
  <pageMargins left="0.25" right="0.25" top="0.75" bottom="0.75" header="0.3" footer="0.3"/>
  <pageSetup paperSize="9" scale="8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C5E2A-602F-49AE-A191-A818909A1BF6}">
  <dimension ref="A1:K170"/>
  <sheetViews>
    <sheetView view="pageBreakPreview" zoomScale="145" zoomScaleNormal="100" zoomScaleSheetLayoutView="145" workbookViewId="0">
      <selection activeCell="A11" sqref="A11:K12"/>
    </sheetView>
  </sheetViews>
  <sheetFormatPr defaultColWidth="9" defaultRowHeight="19.149999999999999"/>
  <cols>
    <col min="1" max="1" width="2.1875" style="6" customWidth="1"/>
    <col min="2" max="2" width="9.5" style="6" customWidth="1"/>
    <col min="3" max="3" width="7.1875" style="6" customWidth="1"/>
    <col min="4" max="4" width="7.6875" style="6" customWidth="1"/>
    <col min="5" max="5" width="17.625" style="6" bestFit="1" customWidth="1"/>
    <col min="6" max="6" width="6.5" style="6" customWidth="1"/>
    <col min="7" max="7" width="6.3125" style="6" customWidth="1"/>
    <col min="8" max="8" width="14.25" style="6" customWidth="1"/>
    <col min="9" max="9" width="10.1875" style="6" customWidth="1"/>
    <col min="10" max="10" width="5.5" style="6" customWidth="1"/>
    <col min="11" max="11" width="14.8125" style="6" customWidth="1"/>
    <col min="12" max="12" width="10.1875" style="6" bestFit="1" customWidth="1"/>
    <col min="13" max="15" width="9" style="6"/>
    <col min="16" max="16" width="11.1875" style="6" bestFit="1" customWidth="1"/>
    <col min="17" max="16384" width="9" style="6"/>
  </cols>
  <sheetData>
    <row r="1" spans="1:11" ht="30.4" customHeight="1">
      <c r="A1" s="3"/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s="10" customFormat="1" ht="55.5" customHeight="1">
      <c r="A2" s="141" t="s">
        <v>62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</row>
    <row r="3" spans="1:11" s="10" customFormat="1" ht="20.25" customHeight="1">
      <c r="A3" s="143" t="s">
        <v>63</v>
      </c>
      <c r="B3" s="144"/>
      <c r="C3" s="144"/>
      <c r="D3" s="144"/>
      <c r="E3" s="144"/>
      <c r="F3" s="144"/>
      <c r="G3" s="144"/>
      <c r="H3" s="144"/>
      <c r="I3" s="144"/>
      <c r="J3" s="144"/>
      <c r="K3" s="144"/>
    </row>
    <row r="4" spans="1:11" s="14" customFormat="1" ht="22.05" customHeight="1">
      <c r="A4" s="145" t="s">
        <v>64</v>
      </c>
      <c r="B4" s="145"/>
      <c r="C4" s="146" t="s">
        <v>65</v>
      </c>
      <c r="D4" s="146"/>
      <c r="E4" s="146"/>
      <c r="F4" s="146"/>
      <c r="G4" s="146"/>
      <c r="H4" s="146"/>
      <c r="I4" s="146"/>
      <c r="J4" s="146"/>
      <c r="K4" s="146"/>
    </row>
    <row r="5" spans="1:11" s="14" customFormat="1" ht="33" customHeight="1">
      <c r="A5" s="145"/>
      <c r="B5" s="145"/>
      <c r="C5" s="147" t="s">
        <v>66</v>
      </c>
      <c r="D5" s="147"/>
      <c r="E5" s="147"/>
      <c r="F5" s="147"/>
      <c r="G5" s="147"/>
      <c r="H5" s="147"/>
      <c r="I5" s="147"/>
      <c r="J5" s="147"/>
      <c r="K5" s="147"/>
    </row>
    <row r="6" spans="1:11" s="14" customFormat="1" ht="37.15" customHeight="1">
      <c r="A6" s="145"/>
      <c r="B6" s="145"/>
      <c r="C6" s="147" t="s">
        <v>67</v>
      </c>
      <c r="D6" s="147"/>
      <c r="E6" s="147"/>
      <c r="F6" s="147"/>
      <c r="G6" s="147"/>
      <c r="H6" s="147"/>
      <c r="I6" s="147"/>
      <c r="J6" s="147"/>
      <c r="K6" s="147"/>
    </row>
    <row r="7" spans="1:11" s="14" customFormat="1" ht="20" customHeight="1">
      <c r="A7" s="11"/>
      <c r="B7" s="12"/>
      <c r="C7" s="19"/>
      <c r="D7" s="20"/>
      <c r="E7" s="12"/>
      <c r="F7" s="21"/>
      <c r="G7" s="19"/>
      <c r="H7" s="19"/>
      <c r="I7" s="22"/>
      <c r="J7" s="22"/>
      <c r="K7" s="22"/>
    </row>
    <row r="8" spans="1:11" s="14" customFormat="1" ht="17.25" customHeight="1">
      <c r="A8" s="110" t="s">
        <v>70</v>
      </c>
      <c r="B8" s="110"/>
      <c r="C8" s="110"/>
      <c r="D8" s="110"/>
      <c r="E8" s="32" t="s">
        <v>71</v>
      </c>
      <c r="F8" s="139" t="s">
        <v>86</v>
      </c>
      <c r="G8" s="140"/>
      <c r="H8" s="60" t="s">
        <v>81</v>
      </c>
      <c r="I8" s="111" t="s">
        <v>68</v>
      </c>
      <c r="J8" s="111"/>
      <c r="K8" s="32" t="s">
        <v>69</v>
      </c>
    </row>
    <row r="9" spans="1:11" s="14" customFormat="1" ht="17.25" customHeight="1">
      <c r="A9" s="130" t="s">
        <v>72</v>
      </c>
      <c r="B9" s="131"/>
      <c r="C9" s="131"/>
      <c r="D9" s="131"/>
      <c r="E9" s="131"/>
      <c r="F9" s="131"/>
      <c r="G9" s="131"/>
      <c r="H9" s="131"/>
      <c r="I9" s="131"/>
      <c r="J9" s="131"/>
      <c r="K9" s="131"/>
    </row>
    <row r="10" spans="1:11" s="14" customFormat="1" ht="17.25" customHeight="1">
      <c r="A10" s="114" t="s">
        <v>32</v>
      </c>
      <c r="B10" s="114"/>
      <c r="C10" s="114"/>
      <c r="D10" s="114"/>
      <c r="E10" s="62" t="s">
        <v>75</v>
      </c>
      <c r="F10" s="137">
        <v>58896</v>
      </c>
      <c r="G10" s="137"/>
      <c r="H10" s="66">
        <v>4</v>
      </c>
      <c r="I10" s="98">
        <f>F10*H10</f>
        <v>235584</v>
      </c>
      <c r="J10" s="98"/>
      <c r="K10" s="39">
        <f>F10*H10*3</f>
        <v>706752</v>
      </c>
    </row>
    <row r="11" spans="1:11" s="14" customFormat="1" ht="17.25" customHeight="1">
      <c r="A11" s="114" t="s">
        <v>38</v>
      </c>
      <c r="B11" s="114"/>
      <c r="C11" s="114"/>
      <c r="D11" s="114"/>
      <c r="E11" s="65" t="s">
        <v>84</v>
      </c>
      <c r="F11" s="132">
        <v>21620</v>
      </c>
      <c r="G11" s="133"/>
      <c r="H11" s="66">
        <v>80</v>
      </c>
      <c r="I11" s="98">
        <f t="shared" ref="I11:I12" si="0">F11*H11</f>
        <v>1729600</v>
      </c>
      <c r="J11" s="98"/>
      <c r="K11" s="39">
        <f t="shared" ref="K11:K12" si="1">F11*H11*3</f>
        <v>5188800</v>
      </c>
    </row>
    <row r="12" spans="1:11" s="14" customFormat="1" ht="17.25" customHeight="1">
      <c r="A12" s="114" t="s">
        <v>85</v>
      </c>
      <c r="B12" s="114"/>
      <c r="C12" s="114"/>
      <c r="D12" s="114"/>
      <c r="E12" s="62" t="s">
        <v>76</v>
      </c>
      <c r="F12" s="132">
        <v>67091</v>
      </c>
      <c r="G12" s="133"/>
      <c r="H12" s="66">
        <v>20</v>
      </c>
      <c r="I12" s="98">
        <f t="shared" si="0"/>
        <v>1341820</v>
      </c>
      <c r="J12" s="98"/>
      <c r="K12" s="39">
        <f t="shared" si="1"/>
        <v>4025460</v>
      </c>
    </row>
    <row r="13" spans="1:11" s="14" customFormat="1" ht="17.25" customHeight="1">
      <c r="A13" s="114" t="s">
        <v>78</v>
      </c>
      <c r="B13" s="114"/>
      <c r="C13" s="114"/>
      <c r="D13" s="114"/>
      <c r="E13" s="122" t="s">
        <v>87</v>
      </c>
      <c r="F13" s="123"/>
      <c r="G13" s="123"/>
      <c r="H13" s="124"/>
      <c r="I13" s="138">
        <v>1000000</v>
      </c>
      <c r="J13" s="138"/>
      <c r="K13" s="36" t="s">
        <v>88</v>
      </c>
    </row>
    <row r="14" spans="1:11" s="14" customFormat="1" ht="17.25" customHeight="1">
      <c r="A14" s="121" t="s">
        <v>79</v>
      </c>
      <c r="B14" s="114"/>
      <c r="C14" s="114"/>
      <c r="D14" s="114"/>
      <c r="E14" s="63" t="s">
        <v>77</v>
      </c>
      <c r="F14" s="132">
        <v>47034</v>
      </c>
      <c r="G14" s="133"/>
      <c r="H14" s="66">
        <v>20</v>
      </c>
      <c r="I14" s="98">
        <f t="shared" ref="I14:I16" si="2">F14*H14</f>
        <v>940680</v>
      </c>
      <c r="J14" s="98"/>
      <c r="K14" s="39">
        <f t="shared" ref="K14:K16" si="3">F14*H14*3</f>
        <v>2822040</v>
      </c>
    </row>
    <row r="15" spans="1:11" s="14" customFormat="1" ht="27" customHeight="1">
      <c r="A15" s="121" t="s">
        <v>79</v>
      </c>
      <c r="B15" s="114"/>
      <c r="C15" s="114"/>
      <c r="D15" s="114"/>
      <c r="E15" s="63" t="s">
        <v>77</v>
      </c>
      <c r="F15" s="132">
        <v>47034</v>
      </c>
      <c r="G15" s="133"/>
      <c r="H15" s="66">
        <v>20</v>
      </c>
      <c r="I15" s="98">
        <f t="shared" si="2"/>
        <v>940680</v>
      </c>
      <c r="J15" s="98"/>
      <c r="K15" s="39">
        <f t="shared" si="3"/>
        <v>2822040</v>
      </c>
    </row>
    <row r="16" spans="1:11" s="14" customFormat="1" ht="17.25" customHeight="1">
      <c r="A16" s="134" t="s">
        <v>33</v>
      </c>
      <c r="B16" s="135"/>
      <c r="C16" s="135"/>
      <c r="D16" s="136"/>
      <c r="E16" s="62" t="s">
        <v>75</v>
      </c>
      <c r="F16" s="137">
        <v>58896</v>
      </c>
      <c r="G16" s="137"/>
      <c r="H16" s="66">
        <v>4</v>
      </c>
      <c r="I16" s="98">
        <f t="shared" si="2"/>
        <v>235584</v>
      </c>
      <c r="J16" s="98"/>
      <c r="K16" s="39">
        <f t="shared" si="3"/>
        <v>706752</v>
      </c>
    </row>
    <row r="17" spans="1:11" s="14" customFormat="1" ht="17.25" customHeight="1">
      <c r="A17" s="130" t="s">
        <v>83</v>
      </c>
      <c r="B17" s="131"/>
      <c r="C17" s="131"/>
      <c r="D17" s="131"/>
      <c r="E17" s="131"/>
      <c r="F17" s="131"/>
      <c r="G17" s="131"/>
      <c r="H17" s="131"/>
      <c r="I17" s="131"/>
      <c r="J17" s="131"/>
      <c r="K17" s="131"/>
    </row>
    <row r="18" spans="1:11" s="14" customFormat="1" ht="17.25" customHeight="1">
      <c r="A18" s="114" t="s">
        <v>36</v>
      </c>
      <c r="B18" s="114"/>
      <c r="C18" s="114"/>
      <c r="D18" s="114"/>
      <c r="E18" s="64" t="s">
        <v>80</v>
      </c>
      <c r="F18" s="125">
        <v>70374</v>
      </c>
      <c r="G18" s="126"/>
      <c r="H18" s="61">
        <v>8</v>
      </c>
      <c r="I18" s="98">
        <f t="shared" ref="I18:I19" si="4">F18*H18</f>
        <v>562992</v>
      </c>
      <c r="J18" s="98"/>
      <c r="K18" s="39">
        <f t="shared" ref="K18:K19" si="5">F18*H18*3</f>
        <v>1688976</v>
      </c>
    </row>
    <row r="19" spans="1:11" s="14" customFormat="1" ht="23.35" customHeight="1">
      <c r="A19" s="121" t="s">
        <v>73</v>
      </c>
      <c r="B19" s="114"/>
      <c r="C19" s="114"/>
      <c r="D19" s="114"/>
      <c r="E19" s="64" t="s">
        <v>80</v>
      </c>
      <c r="F19" s="125">
        <v>70374</v>
      </c>
      <c r="G19" s="126"/>
      <c r="H19" s="61">
        <v>20</v>
      </c>
      <c r="I19" s="98">
        <f t="shared" si="4"/>
        <v>1407480</v>
      </c>
      <c r="J19" s="98"/>
      <c r="K19" s="39">
        <f t="shared" si="5"/>
        <v>4222440</v>
      </c>
    </row>
    <row r="20" spans="1:11" s="14" customFormat="1" ht="23.35" customHeight="1">
      <c r="A20" s="121" t="s">
        <v>74</v>
      </c>
      <c r="B20" s="114"/>
      <c r="C20" s="114"/>
      <c r="D20" s="114"/>
      <c r="E20" s="122" t="s">
        <v>87</v>
      </c>
      <c r="F20" s="123"/>
      <c r="G20" s="123"/>
      <c r="H20" s="124"/>
      <c r="I20" s="98">
        <v>500000</v>
      </c>
      <c r="J20" s="98"/>
      <c r="K20" s="59"/>
    </row>
    <row r="21" spans="1:11" s="14" customFormat="1" ht="17.25" customHeight="1">
      <c r="A21" s="114" t="s">
        <v>37</v>
      </c>
      <c r="B21" s="114"/>
      <c r="C21" s="114"/>
      <c r="D21" s="114"/>
      <c r="E21" s="64" t="s">
        <v>77</v>
      </c>
      <c r="F21" s="125">
        <v>47034</v>
      </c>
      <c r="G21" s="126"/>
      <c r="H21" s="61">
        <v>40</v>
      </c>
      <c r="I21" s="98">
        <f t="shared" ref="I21:I22" si="6">F21*H21</f>
        <v>1881360</v>
      </c>
      <c r="J21" s="98"/>
      <c r="K21" s="39">
        <f t="shared" ref="K21:K22" si="7">F21*H21*3</f>
        <v>5644080</v>
      </c>
    </row>
    <row r="22" spans="1:11" s="14" customFormat="1" ht="17.25" customHeight="1">
      <c r="A22" s="114" t="s">
        <v>33</v>
      </c>
      <c r="B22" s="114"/>
      <c r="C22" s="114"/>
      <c r="D22" s="114"/>
      <c r="E22" s="62" t="s">
        <v>75</v>
      </c>
      <c r="F22" s="127">
        <v>58896</v>
      </c>
      <c r="G22" s="127"/>
      <c r="H22" s="61">
        <v>4</v>
      </c>
      <c r="I22" s="98">
        <f t="shared" si="6"/>
        <v>235584</v>
      </c>
      <c r="J22" s="98"/>
      <c r="K22" s="39">
        <f t="shared" si="7"/>
        <v>706752</v>
      </c>
    </row>
    <row r="23" spans="1:11" s="14" customFormat="1" ht="48" customHeight="1">
      <c r="A23" s="128" t="s">
        <v>89</v>
      </c>
      <c r="B23" s="129"/>
      <c r="C23" s="129"/>
      <c r="D23" s="129"/>
      <c r="E23" s="129"/>
      <c r="F23" s="129"/>
      <c r="G23" s="129"/>
      <c r="H23" s="129"/>
      <c r="I23" s="129"/>
      <c r="J23" s="129"/>
      <c r="K23" s="129"/>
    </row>
    <row r="24" spans="1:11" s="14" customFormat="1" ht="28.05" customHeight="1">
      <c r="A24" s="11"/>
      <c r="B24" s="48"/>
      <c r="C24" s="48"/>
      <c r="E24" s="85"/>
      <c r="F24" s="85"/>
      <c r="G24" s="85"/>
      <c r="H24" s="52"/>
      <c r="J24" s="52"/>
      <c r="K24" s="52"/>
    </row>
    <row r="25" spans="1:11" s="14" customFormat="1" ht="98.65" customHeight="1">
      <c r="A25" s="53"/>
      <c r="B25" s="49"/>
      <c r="C25" s="49"/>
      <c r="D25" s="54"/>
      <c r="E25" s="85" t="s">
        <v>9</v>
      </c>
      <c r="F25" s="85"/>
      <c r="G25" s="85"/>
      <c r="H25" s="52" t="s">
        <v>23</v>
      </c>
      <c r="I25" s="54"/>
      <c r="J25" s="54"/>
      <c r="K25" s="54"/>
    </row>
    <row r="26" spans="1:11" s="14" customFormat="1" ht="20" customHeight="1"/>
    <row r="27" spans="1:11" s="14" customFormat="1" ht="20" customHeight="1"/>
    <row r="28" spans="1:11" s="14" customFormat="1" ht="20" customHeight="1"/>
    <row r="29" spans="1:11" s="14" customFormat="1" ht="25.5" customHeight="1"/>
    <row r="30" spans="1:11" s="14" customFormat="1" ht="27.75" customHeight="1"/>
    <row r="31" spans="1:11" s="14" customFormat="1" ht="15.75">
      <c r="E31" s="56"/>
      <c r="I31" s="15"/>
      <c r="J31" s="15"/>
      <c r="K31" s="15"/>
    </row>
    <row r="32" spans="1:11" s="14" customFormat="1" ht="15.75">
      <c r="E32" s="56"/>
      <c r="I32" s="15"/>
      <c r="J32" s="15"/>
      <c r="K32" s="15"/>
    </row>
    <row r="33" spans="5:11" s="14" customFormat="1" ht="15.75">
      <c r="E33" s="56"/>
      <c r="I33" s="15"/>
      <c r="J33" s="15"/>
      <c r="K33" s="15"/>
    </row>
    <row r="34" spans="5:11" s="14" customFormat="1" ht="15.75">
      <c r="E34" s="56"/>
      <c r="I34" s="15"/>
      <c r="J34" s="15"/>
      <c r="K34" s="15"/>
    </row>
    <row r="35" spans="5:11" s="14" customFormat="1" ht="15.75">
      <c r="E35" s="56"/>
      <c r="I35" s="15"/>
      <c r="J35" s="15"/>
      <c r="K35" s="15"/>
    </row>
    <row r="36" spans="5:11" s="14" customFormat="1" ht="15.75">
      <c r="E36" s="56"/>
      <c r="I36" s="15"/>
      <c r="J36" s="15"/>
      <c r="K36" s="15"/>
    </row>
    <row r="37" spans="5:11" s="14" customFormat="1" ht="15.75">
      <c r="E37" s="56"/>
      <c r="I37" s="15"/>
      <c r="J37" s="15"/>
      <c r="K37" s="15"/>
    </row>
    <row r="38" spans="5:11" s="14" customFormat="1" ht="15.75">
      <c r="E38" s="56"/>
      <c r="I38" s="15"/>
      <c r="J38" s="15"/>
      <c r="K38" s="15"/>
    </row>
    <row r="39" spans="5:11" s="14" customFormat="1" ht="15.75">
      <c r="E39" s="56"/>
      <c r="I39" s="15"/>
      <c r="J39" s="15"/>
      <c r="K39" s="15"/>
    </row>
    <row r="40" spans="5:11" s="14" customFormat="1" ht="15.75">
      <c r="E40" s="56"/>
      <c r="I40" s="15"/>
      <c r="J40" s="15"/>
      <c r="K40" s="15"/>
    </row>
    <row r="41" spans="5:11" s="14" customFormat="1" ht="15.75">
      <c r="E41" s="56"/>
      <c r="I41" s="15"/>
      <c r="J41" s="15"/>
      <c r="K41" s="15"/>
    </row>
    <row r="42" spans="5:11" s="14" customFormat="1" ht="15.75">
      <c r="E42" s="56"/>
      <c r="I42" s="15"/>
      <c r="J42" s="15"/>
      <c r="K42" s="15"/>
    </row>
    <row r="43" spans="5:11" s="14" customFormat="1" ht="15.75">
      <c r="E43" s="56"/>
      <c r="I43" s="15"/>
      <c r="J43" s="15"/>
      <c r="K43" s="15"/>
    </row>
    <row r="44" spans="5:11" s="14" customFormat="1" ht="15.75">
      <c r="E44" s="56"/>
      <c r="I44" s="15"/>
      <c r="J44" s="15"/>
      <c r="K44" s="15"/>
    </row>
    <row r="45" spans="5:11" s="14" customFormat="1" ht="15.75">
      <c r="E45" s="56"/>
      <c r="I45" s="15"/>
      <c r="J45" s="15"/>
      <c r="K45" s="15"/>
    </row>
    <row r="46" spans="5:11" s="14" customFormat="1" ht="15.75">
      <c r="E46" s="56"/>
      <c r="I46" s="15"/>
      <c r="J46" s="15"/>
      <c r="K46" s="15"/>
    </row>
    <row r="47" spans="5:11" s="14" customFormat="1" ht="15.75">
      <c r="E47" s="56"/>
      <c r="I47" s="15"/>
      <c r="J47" s="15"/>
      <c r="K47" s="15"/>
    </row>
    <row r="48" spans="5:11" s="14" customFormat="1" ht="15.75">
      <c r="E48" s="56"/>
      <c r="I48" s="15"/>
      <c r="J48" s="15"/>
      <c r="K48" s="15"/>
    </row>
    <row r="49" spans="5:11" s="14" customFormat="1" ht="15.75">
      <c r="E49" s="56"/>
      <c r="I49" s="15"/>
      <c r="J49" s="15"/>
      <c r="K49" s="15"/>
    </row>
    <row r="50" spans="5:11" s="14" customFormat="1" ht="15.75">
      <c r="E50" s="56"/>
      <c r="I50" s="15"/>
      <c r="J50" s="15"/>
      <c r="K50" s="15"/>
    </row>
    <row r="51" spans="5:11" s="14" customFormat="1" ht="15.75">
      <c r="E51" s="56"/>
      <c r="I51" s="15"/>
      <c r="J51" s="15"/>
      <c r="K51" s="15"/>
    </row>
    <row r="52" spans="5:11" s="14" customFormat="1" ht="15.75">
      <c r="E52" s="56"/>
      <c r="I52" s="15"/>
      <c r="J52" s="15"/>
      <c r="K52" s="15"/>
    </row>
    <row r="53" spans="5:11" s="14" customFormat="1" ht="15.75">
      <c r="E53" s="56"/>
      <c r="I53" s="15"/>
      <c r="J53" s="15"/>
      <c r="K53" s="15"/>
    </row>
    <row r="54" spans="5:11" s="14" customFormat="1" ht="15.75">
      <c r="E54" s="56"/>
      <c r="I54" s="15"/>
      <c r="J54" s="15"/>
      <c r="K54" s="15"/>
    </row>
    <row r="55" spans="5:11" s="14" customFormat="1" ht="15.75">
      <c r="E55" s="56"/>
      <c r="I55" s="15"/>
      <c r="J55" s="15"/>
      <c r="K55" s="15"/>
    </row>
    <row r="56" spans="5:11" s="14" customFormat="1" ht="15.75">
      <c r="E56" s="56"/>
      <c r="I56" s="15"/>
      <c r="J56" s="15"/>
      <c r="K56" s="15"/>
    </row>
    <row r="57" spans="5:11" s="14" customFormat="1" ht="15.75">
      <c r="E57" s="56"/>
      <c r="I57" s="15"/>
      <c r="J57" s="15"/>
      <c r="K57" s="15"/>
    </row>
    <row r="58" spans="5:11" s="14" customFormat="1" ht="15.75">
      <c r="E58" s="56"/>
      <c r="I58" s="15"/>
      <c r="J58" s="15"/>
      <c r="K58" s="15"/>
    </row>
    <row r="59" spans="5:11" s="14" customFormat="1" ht="15.75">
      <c r="E59" s="56"/>
      <c r="I59" s="15"/>
      <c r="J59" s="15"/>
      <c r="K59" s="15"/>
    </row>
    <row r="60" spans="5:11" s="14" customFormat="1" ht="15.75">
      <c r="E60" s="56"/>
      <c r="I60" s="15"/>
      <c r="J60" s="15"/>
      <c r="K60" s="15"/>
    </row>
    <row r="61" spans="5:11" s="14" customFormat="1" ht="15.75">
      <c r="E61" s="56"/>
      <c r="I61" s="15"/>
      <c r="J61" s="15"/>
      <c r="K61" s="15"/>
    </row>
    <row r="62" spans="5:11" s="14" customFormat="1" ht="15.75">
      <c r="E62" s="56"/>
      <c r="I62" s="15"/>
      <c r="J62" s="15"/>
      <c r="K62" s="15"/>
    </row>
    <row r="63" spans="5:11" s="14" customFormat="1" ht="15.75">
      <c r="E63" s="56"/>
      <c r="I63" s="15"/>
      <c r="J63" s="15"/>
      <c r="K63" s="15"/>
    </row>
    <row r="64" spans="5:11" s="14" customFormat="1" ht="15.75">
      <c r="E64" s="56"/>
      <c r="I64" s="15"/>
      <c r="J64" s="15"/>
      <c r="K64" s="15"/>
    </row>
    <row r="65" spans="5:11" s="14" customFormat="1" ht="15.75">
      <c r="E65" s="56"/>
      <c r="I65" s="15"/>
      <c r="J65" s="15"/>
      <c r="K65" s="15"/>
    </row>
    <row r="66" spans="5:11" s="14" customFormat="1" ht="15.75">
      <c r="E66" s="56"/>
      <c r="I66" s="15"/>
      <c r="J66" s="15"/>
      <c r="K66" s="15"/>
    </row>
    <row r="67" spans="5:11" s="14" customFormat="1" ht="15.75">
      <c r="E67" s="56"/>
      <c r="I67" s="15"/>
      <c r="J67" s="15"/>
      <c r="K67" s="15"/>
    </row>
    <row r="68" spans="5:11" s="14" customFormat="1" ht="15.75">
      <c r="E68" s="56"/>
      <c r="I68" s="15"/>
      <c r="J68" s="15"/>
      <c r="K68" s="15"/>
    </row>
    <row r="69" spans="5:11" s="14" customFormat="1" ht="15.75">
      <c r="E69" s="56"/>
      <c r="I69" s="15"/>
      <c r="J69" s="15"/>
      <c r="K69" s="15"/>
    </row>
    <row r="70" spans="5:11" s="14" customFormat="1" ht="15.75">
      <c r="E70" s="56"/>
      <c r="I70" s="15"/>
      <c r="J70" s="15"/>
      <c r="K70" s="15"/>
    </row>
    <row r="71" spans="5:11" s="14" customFormat="1" ht="15.75">
      <c r="E71" s="56"/>
      <c r="I71" s="15"/>
      <c r="J71" s="15"/>
      <c r="K71" s="15"/>
    </row>
    <row r="72" spans="5:11" s="14" customFormat="1" ht="15.75">
      <c r="E72" s="56"/>
      <c r="I72" s="15"/>
      <c r="J72" s="15"/>
      <c r="K72" s="15"/>
    </row>
    <row r="73" spans="5:11" s="14" customFormat="1" ht="15.75">
      <c r="E73" s="56"/>
      <c r="I73" s="15"/>
      <c r="J73" s="15"/>
      <c r="K73" s="15"/>
    </row>
    <row r="74" spans="5:11" s="14" customFormat="1" ht="15.75">
      <c r="E74" s="56"/>
      <c r="I74" s="15"/>
      <c r="J74" s="15"/>
      <c r="K74" s="15"/>
    </row>
    <row r="75" spans="5:11" s="14" customFormat="1" ht="15.75">
      <c r="E75" s="56"/>
      <c r="I75" s="15"/>
      <c r="J75" s="15"/>
      <c r="K75" s="15"/>
    </row>
    <row r="76" spans="5:11" s="14" customFormat="1" ht="15.75">
      <c r="E76" s="56"/>
      <c r="I76" s="15"/>
      <c r="J76" s="15"/>
      <c r="K76" s="15"/>
    </row>
    <row r="77" spans="5:11" s="14" customFormat="1" ht="15.75">
      <c r="E77" s="56"/>
      <c r="I77" s="15"/>
      <c r="J77" s="15"/>
      <c r="K77" s="15"/>
    </row>
    <row r="78" spans="5:11" s="14" customFormat="1" ht="15.75">
      <c r="E78" s="56"/>
      <c r="I78" s="15"/>
      <c r="J78" s="15"/>
      <c r="K78" s="15"/>
    </row>
    <row r="79" spans="5:11" s="14" customFormat="1" ht="15.75">
      <c r="E79" s="56"/>
      <c r="I79" s="15"/>
      <c r="J79" s="15"/>
      <c r="K79" s="15"/>
    </row>
    <row r="80" spans="5:11" s="14" customFormat="1" ht="15.75">
      <c r="E80" s="56"/>
      <c r="I80" s="15"/>
      <c r="J80" s="15"/>
      <c r="K80" s="15"/>
    </row>
    <row r="81" spans="5:11" s="14" customFormat="1" ht="15.75">
      <c r="E81" s="56"/>
      <c r="I81" s="15"/>
      <c r="J81" s="15"/>
      <c r="K81" s="15"/>
    </row>
    <row r="82" spans="5:11" s="14" customFormat="1" ht="15.75">
      <c r="E82" s="56"/>
      <c r="I82" s="15"/>
      <c r="J82" s="15"/>
      <c r="K82" s="15"/>
    </row>
    <row r="83" spans="5:11" s="14" customFormat="1" ht="15.75">
      <c r="E83" s="56"/>
      <c r="I83" s="15"/>
      <c r="J83" s="15"/>
      <c r="K83" s="15"/>
    </row>
    <row r="84" spans="5:11" s="14" customFormat="1" ht="15.75">
      <c r="E84" s="56"/>
      <c r="I84" s="15"/>
      <c r="J84" s="15"/>
      <c r="K84" s="15"/>
    </row>
    <row r="85" spans="5:11" s="14" customFormat="1" ht="15.75">
      <c r="E85" s="56"/>
      <c r="I85" s="15"/>
      <c r="J85" s="15"/>
      <c r="K85" s="15"/>
    </row>
    <row r="86" spans="5:11" s="14" customFormat="1" ht="15.75">
      <c r="E86" s="56"/>
      <c r="I86" s="15"/>
      <c r="J86" s="15"/>
      <c r="K86" s="15"/>
    </row>
    <row r="87" spans="5:11" s="14" customFormat="1" ht="15.75">
      <c r="E87" s="56"/>
      <c r="I87" s="15"/>
      <c r="J87" s="15"/>
      <c r="K87" s="15"/>
    </row>
    <row r="88" spans="5:11" s="14" customFormat="1" ht="15.75">
      <c r="I88" s="15"/>
      <c r="J88" s="15"/>
      <c r="K88" s="15"/>
    </row>
    <row r="89" spans="5:11" s="14" customFormat="1" ht="15.75">
      <c r="I89" s="15"/>
      <c r="J89" s="15"/>
      <c r="K89" s="15"/>
    </row>
    <row r="90" spans="5:11" s="14" customFormat="1" ht="15.75">
      <c r="I90" s="15"/>
      <c r="J90" s="15"/>
      <c r="K90" s="15"/>
    </row>
    <row r="91" spans="5:11" s="14" customFormat="1" ht="15.75">
      <c r="I91" s="15"/>
      <c r="J91" s="15"/>
      <c r="K91" s="15"/>
    </row>
    <row r="92" spans="5:11" s="14" customFormat="1" ht="15.75">
      <c r="I92" s="15"/>
      <c r="J92" s="15"/>
      <c r="K92" s="15"/>
    </row>
    <row r="93" spans="5:11" s="14" customFormat="1" ht="15.75">
      <c r="I93" s="15"/>
      <c r="J93" s="15"/>
      <c r="K93" s="15"/>
    </row>
    <row r="94" spans="5:11" s="14" customFormat="1" ht="15.75">
      <c r="I94" s="15"/>
      <c r="J94" s="15"/>
      <c r="K94" s="15"/>
    </row>
    <row r="95" spans="5:11" s="14" customFormat="1" ht="15.75">
      <c r="I95" s="15"/>
      <c r="J95" s="15"/>
      <c r="K95" s="15"/>
    </row>
    <row r="96" spans="5:11" s="14" customFormat="1" ht="15.75">
      <c r="I96" s="15"/>
      <c r="J96" s="15"/>
      <c r="K96" s="15"/>
    </row>
    <row r="97" spans="9:11" s="14" customFormat="1" ht="15.75">
      <c r="I97" s="15"/>
      <c r="J97" s="15"/>
      <c r="K97" s="15"/>
    </row>
    <row r="98" spans="9:11" s="14" customFormat="1" ht="15.75">
      <c r="I98" s="15"/>
      <c r="J98" s="15"/>
      <c r="K98" s="15"/>
    </row>
    <row r="99" spans="9:11" s="14" customFormat="1" ht="15.75">
      <c r="I99" s="15"/>
      <c r="J99" s="15"/>
      <c r="K99" s="15"/>
    </row>
    <row r="100" spans="9:11" s="14" customFormat="1" ht="15.75">
      <c r="I100" s="15"/>
      <c r="J100" s="15"/>
      <c r="K100" s="15"/>
    </row>
    <row r="101" spans="9:11" s="14" customFormat="1" ht="15.75">
      <c r="I101" s="15"/>
      <c r="J101" s="15"/>
      <c r="K101" s="15"/>
    </row>
    <row r="102" spans="9:11" s="14" customFormat="1" ht="15.75">
      <c r="I102" s="15"/>
      <c r="J102" s="15"/>
      <c r="K102" s="15"/>
    </row>
    <row r="103" spans="9:11" s="14" customFormat="1" ht="15.75">
      <c r="I103" s="15"/>
      <c r="J103" s="15"/>
      <c r="K103" s="15"/>
    </row>
    <row r="104" spans="9:11" s="14" customFormat="1" ht="15.75"/>
    <row r="105" spans="9:11" s="14" customFormat="1" ht="15.75"/>
    <row r="106" spans="9:11" s="14" customFormat="1" ht="15.75"/>
    <row r="107" spans="9:11" s="14" customFormat="1" ht="15.75"/>
    <row r="108" spans="9:11" s="14" customFormat="1" ht="15.75"/>
    <row r="109" spans="9:11" s="14" customFormat="1" ht="15.75"/>
    <row r="110" spans="9:11" s="14" customFormat="1" ht="15.75"/>
    <row r="111" spans="9:11" s="14" customFormat="1" ht="15.75"/>
    <row r="112" spans="9:11" s="14" customFormat="1" ht="15.75"/>
    <row r="113" s="14" customFormat="1" ht="15.75"/>
    <row r="114" s="14" customFormat="1" ht="15.75"/>
    <row r="115" s="14" customFormat="1" ht="15.75"/>
    <row r="116" s="14" customFormat="1" ht="15.75"/>
    <row r="117" s="14" customFormat="1" ht="15.75"/>
    <row r="118" s="14" customFormat="1" ht="15.75"/>
    <row r="119" s="14" customFormat="1" ht="15.75"/>
    <row r="120" s="14" customFormat="1" ht="15.75"/>
    <row r="121" s="14" customFormat="1" ht="15.75"/>
    <row r="122" s="14" customFormat="1" ht="15.75"/>
    <row r="123" s="14" customFormat="1" ht="15.75"/>
    <row r="124" s="14" customFormat="1" ht="15.75"/>
    <row r="125" s="14" customFormat="1" ht="15.75"/>
    <row r="126" s="14" customFormat="1" ht="15.75"/>
    <row r="127" s="14" customFormat="1" ht="15.75"/>
    <row r="128" s="14" customFormat="1" ht="15.75"/>
    <row r="129" s="14" customFormat="1" ht="15.75"/>
    <row r="130" s="14" customFormat="1" ht="15.75"/>
    <row r="131" s="14" customFormat="1" ht="15.75"/>
    <row r="132" s="14" customFormat="1" ht="15.75"/>
    <row r="133" s="14" customFormat="1" ht="15.75"/>
    <row r="134" s="14" customFormat="1" ht="15.75"/>
    <row r="135" s="14" customFormat="1" ht="15.75"/>
    <row r="136" s="14" customFormat="1" ht="15.75"/>
    <row r="137" s="14" customFormat="1" ht="15.75"/>
    <row r="138" s="14" customFormat="1" ht="15.75"/>
    <row r="139" s="14" customFormat="1" ht="15.75"/>
    <row r="140" s="14" customFormat="1" ht="15.75"/>
    <row r="141" s="14" customFormat="1" ht="15.75"/>
    <row r="142" s="14" customFormat="1" ht="15.75"/>
    <row r="143" s="14" customFormat="1" ht="15.75"/>
    <row r="144" s="14" customFormat="1" ht="15.75"/>
    <row r="145" s="14" customFormat="1" ht="15.75"/>
    <row r="146" s="14" customFormat="1" ht="15.75"/>
    <row r="147" s="14" customFormat="1" ht="15.75"/>
    <row r="148" s="14" customFormat="1" ht="15.75"/>
    <row r="149" s="14" customFormat="1" ht="15.75"/>
    <row r="150" s="14" customFormat="1" ht="15.75"/>
    <row r="151" s="14" customFormat="1" ht="15.75"/>
    <row r="152" s="14" customFormat="1" ht="15.75"/>
    <row r="153" s="14" customFormat="1" ht="15.75"/>
    <row r="154" s="14" customFormat="1" ht="15.75"/>
    <row r="155" s="14" customFormat="1" ht="15.75"/>
    <row r="156" s="14" customFormat="1" ht="15.75"/>
    <row r="157" s="14" customFormat="1" ht="15.75"/>
    <row r="158" s="14" customFormat="1" ht="15.75"/>
    <row r="159" s="14" customFormat="1" ht="15.75"/>
    <row r="160" s="14" customFormat="1" ht="15.75"/>
    <row r="161" s="14" customFormat="1" ht="15.75"/>
    <row r="162" s="14" customFormat="1" ht="15.75"/>
    <row r="163" s="14" customFormat="1" ht="15.75"/>
    <row r="164" s="14" customFormat="1" ht="15.75"/>
    <row r="165" s="14" customFormat="1" ht="15.75"/>
    <row r="166" s="14" customFormat="1" ht="15.75"/>
    <row r="167" s="14" customFormat="1" ht="15.75"/>
    <row r="168" s="14" customFormat="1" ht="15.75"/>
    <row r="169" s="14" customFormat="1" ht="15.75"/>
    <row r="170" s="14" customFormat="1" ht="15.75"/>
  </sheetData>
  <mergeCells count="50">
    <mergeCell ref="A2:K2"/>
    <mergeCell ref="E25:G25"/>
    <mergeCell ref="A23:K23"/>
    <mergeCell ref="F16:G16"/>
    <mergeCell ref="I16:J16"/>
    <mergeCell ref="A16:D16"/>
    <mergeCell ref="A17:K17"/>
    <mergeCell ref="A19:D19"/>
    <mergeCell ref="F19:G19"/>
    <mergeCell ref="I19:J19"/>
    <mergeCell ref="A12:D12"/>
    <mergeCell ref="F12:G12"/>
    <mergeCell ref="I12:J12"/>
    <mergeCell ref="E13:H13"/>
    <mergeCell ref="E20:H20"/>
    <mergeCell ref="A13:D13"/>
    <mergeCell ref="I13:J13"/>
    <mergeCell ref="F10:G10"/>
    <mergeCell ref="F11:G11"/>
    <mergeCell ref="F14:G14"/>
    <mergeCell ref="E24:G24"/>
    <mergeCell ref="F15:G15"/>
    <mergeCell ref="A3:K3"/>
    <mergeCell ref="F22:G22"/>
    <mergeCell ref="A20:D20"/>
    <mergeCell ref="I20:J20"/>
    <mergeCell ref="A21:D21"/>
    <mergeCell ref="I21:J21"/>
    <mergeCell ref="A22:D22"/>
    <mergeCell ref="I22:J22"/>
    <mergeCell ref="F21:G21"/>
    <mergeCell ref="A18:D18"/>
    <mergeCell ref="I18:J18"/>
    <mergeCell ref="F18:G18"/>
    <mergeCell ref="A14:D14"/>
    <mergeCell ref="I14:J14"/>
    <mergeCell ref="A15:D15"/>
    <mergeCell ref="I15:J15"/>
    <mergeCell ref="A10:D10"/>
    <mergeCell ref="I10:J10"/>
    <mergeCell ref="A11:D11"/>
    <mergeCell ref="I11:J11"/>
    <mergeCell ref="A4:B6"/>
    <mergeCell ref="C4:K4"/>
    <mergeCell ref="A8:D8"/>
    <mergeCell ref="I8:J8"/>
    <mergeCell ref="C5:K5"/>
    <mergeCell ref="C6:K6"/>
    <mergeCell ref="A9:K9"/>
    <mergeCell ref="F8:G8"/>
  </mergeCells>
  <phoneticPr fontId="20" type="noConversion"/>
  <printOptions gridLinesSet="0"/>
  <pageMargins left="0.25" right="0.25" top="0.75" bottom="0.75" header="0.3" footer="0.3"/>
  <pageSetup paperSize="9" scale="8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9"/>
  <sheetViews>
    <sheetView view="pageBreakPreview" topLeftCell="A2" zoomScale="145" zoomScaleNormal="100" zoomScaleSheetLayoutView="145" workbookViewId="0">
      <selection activeCell="F17" sqref="F17"/>
    </sheetView>
  </sheetViews>
  <sheetFormatPr defaultColWidth="9" defaultRowHeight="19.149999999999999"/>
  <cols>
    <col min="1" max="1" width="2.1875" style="6" customWidth="1"/>
    <col min="2" max="2" width="9.5" style="6" customWidth="1"/>
    <col min="3" max="3" width="7.1875" style="6" customWidth="1"/>
    <col min="4" max="4" width="7.6875" style="6" customWidth="1"/>
    <col min="5" max="5" width="12" style="6" customWidth="1"/>
    <col min="6" max="7" width="9.75" style="6" customWidth="1"/>
    <col min="8" max="8" width="9.3125" style="6" customWidth="1"/>
    <col min="9" max="9" width="8.5" style="6" customWidth="1"/>
    <col min="10" max="10" width="5.5" style="6" customWidth="1"/>
    <col min="11" max="11" width="7.125" style="6" customWidth="1"/>
    <col min="12" max="12" width="5.1875" style="6" customWidth="1"/>
    <col min="13" max="13" width="10.1875" style="6" bestFit="1" customWidth="1"/>
    <col min="14" max="16" width="9" style="6"/>
    <col min="17" max="17" width="11.1875" style="6" bestFit="1" customWidth="1"/>
    <col min="18" max="16384" width="9" style="6"/>
  </cols>
  <sheetData>
    <row r="1" spans="1:17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spans="1:17" s="10" customFormat="1" ht="55.5" customHeight="1">
      <c r="A2" s="7" t="s">
        <v>19</v>
      </c>
      <c r="B2" s="8"/>
      <c r="C2" s="8"/>
      <c r="D2" s="8"/>
      <c r="E2" s="8"/>
      <c r="F2" s="8"/>
      <c r="G2" s="8"/>
      <c r="H2" s="8"/>
      <c r="I2" s="9"/>
      <c r="J2" s="9"/>
      <c r="K2" s="9"/>
      <c r="L2" s="8"/>
    </row>
    <row r="3" spans="1:17" s="14" customFormat="1" ht="15.75" customHeight="1">
      <c r="A3" s="11"/>
      <c r="B3" s="12"/>
      <c r="C3" s="12"/>
      <c r="D3" s="12"/>
      <c r="E3" s="12"/>
      <c r="F3" s="70" t="s">
        <v>18</v>
      </c>
      <c r="G3" s="70"/>
      <c r="H3" s="70"/>
      <c r="I3" s="120" t="s">
        <v>9</v>
      </c>
      <c r="J3" s="96"/>
      <c r="K3" s="97"/>
      <c r="L3" s="13"/>
      <c r="Q3" s="15"/>
    </row>
    <row r="4" spans="1:17" s="14" customFormat="1" ht="15.75" customHeight="1">
      <c r="A4" s="11"/>
      <c r="B4" s="16" t="s">
        <v>30</v>
      </c>
      <c r="C4" s="16" t="s">
        <v>40</v>
      </c>
      <c r="D4" s="16" t="s">
        <v>41</v>
      </c>
      <c r="E4" s="12"/>
      <c r="F4" s="70" t="s">
        <v>7</v>
      </c>
      <c r="G4" s="70"/>
      <c r="H4" s="70"/>
      <c r="I4" s="115" t="s">
        <v>10</v>
      </c>
      <c r="J4" s="115"/>
      <c r="K4" s="116"/>
      <c r="L4" s="13"/>
      <c r="Q4" s="15"/>
    </row>
    <row r="5" spans="1:17" s="14" customFormat="1" ht="15.75" customHeight="1">
      <c r="A5" s="11"/>
      <c r="B5" s="12"/>
      <c r="C5" s="12"/>
      <c r="D5" s="12"/>
      <c r="E5" s="12"/>
      <c r="F5" s="70" t="s">
        <v>17</v>
      </c>
      <c r="G5" s="70"/>
      <c r="H5" s="70"/>
      <c r="I5" s="115" t="s">
        <v>8</v>
      </c>
      <c r="J5" s="115"/>
      <c r="K5" s="116"/>
      <c r="L5" s="13"/>
    </row>
    <row r="6" spans="1:17" s="14" customFormat="1" ht="40.049999999999997" customHeight="1">
      <c r="A6" s="11"/>
      <c r="B6" s="112" t="s">
        <v>34</v>
      </c>
      <c r="C6" s="113"/>
      <c r="D6" s="113"/>
      <c r="E6" s="113"/>
      <c r="F6" s="70" t="s">
        <v>24</v>
      </c>
      <c r="G6" s="70"/>
      <c r="H6" s="70"/>
      <c r="I6" s="115" t="s">
        <v>14</v>
      </c>
      <c r="J6" s="115"/>
      <c r="K6" s="116"/>
      <c r="L6" s="13"/>
    </row>
    <row r="7" spans="1:17" s="14" customFormat="1" ht="15.75" customHeight="1">
      <c r="A7" s="11"/>
      <c r="B7" s="12" t="s">
        <v>20</v>
      </c>
      <c r="C7" s="17"/>
      <c r="D7" s="17"/>
      <c r="E7" s="17"/>
      <c r="F7" s="70" t="s">
        <v>16</v>
      </c>
      <c r="G7" s="70"/>
      <c r="H7" s="70"/>
      <c r="I7" s="117" t="s">
        <v>28</v>
      </c>
      <c r="J7" s="118"/>
      <c r="K7" s="119"/>
      <c r="L7" s="18"/>
    </row>
    <row r="8" spans="1:17" s="14" customFormat="1" ht="15.75" customHeight="1">
      <c r="A8" s="11"/>
      <c r="C8" s="19"/>
      <c r="D8" s="20"/>
      <c r="E8" s="12"/>
      <c r="F8" s="70" t="s">
        <v>15</v>
      </c>
      <c r="G8" s="70"/>
      <c r="H8" s="70"/>
      <c r="I8" s="118" t="s">
        <v>11</v>
      </c>
      <c r="J8" s="118"/>
      <c r="K8" s="119"/>
      <c r="L8" s="18"/>
    </row>
    <row r="9" spans="1:17" s="14" customFormat="1" ht="20" customHeight="1">
      <c r="A9" s="11"/>
      <c r="B9" s="12"/>
      <c r="C9" s="19"/>
      <c r="D9" s="20"/>
      <c r="E9" s="12"/>
      <c r="F9" s="21"/>
      <c r="G9" s="21"/>
      <c r="H9" s="19"/>
      <c r="I9" s="22"/>
      <c r="J9" s="22"/>
      <c r="K9" s="22"/>
      <c r="L9" s="18"/>
    </row>
    <row r="10" spans="1:17" s="14" customFormat="1" ht="22.05" customHeight="1" thickBot="1">
      <c r="A10" s="11"/>
      <c r="B10" s="106"/>
      <c r="C10" s="106"/>
      <c r="D10" s="106"/>
      <c r="E10" s="24"/>
      <c r="F10" s="24"/>
      <c r="G10" s="24"/>
      <c r="H10" s="25" t="s">
        <v>1</v>
      </c>
      <c r="I10" s="107">
        <f>I28</f>
        <v>19800000</v>
      </c>
      <c r="J10" s="107"/>
      <c r="K10" s="26" t="s">
        <v>2</v>
      </c>
      <c r="L10" s="18"/>
    </row>
    <row r="11" spans="1:17" s="14" customFormat="1" ht="22.05" customHeight="1">
      <c r="A11" s="11"/>
      <c r="B11" s="23"/>
      <c r="C11" s="23"/>
      <c r="D11" s="23"/>
      <c r="E11" s="24"/>
      <c r="F11" s="24"/>
      <c r="G11" s="24"/>
      <c r="H11" s="24"/>
      <c r="I11" s="27"/>
      <c r="J11" s="27"/>
      <c r="K11" s="28"/>
      <c r="L11" s="18"/>
    </row>
    <row r="12" spans="1:17" s="14" customFormat="1" ht="22.05" customHeight="1">
      <c r="A12" s="11"/>
      <c r="B12" s="108" t="s">
        <v>44</v>
      </c>
      <c r="C12" s="108"/>
      <c r="D12" s="108"/>
      <c r="E12" s="108"/>
      <c r="F12" s="108"/>
      <c r="G12" s="108"/>
      <c r="H12" s="108"/>
      <c r="I12" s="108"/>
      <c r="J12" s="108"/>
      <c r="K12" s="108"/>
      <c r="L12" s="18"/>
    </row>
    <row r="13" spans="1:17" s="14" customFormat="1" ht="22.05" customHeight="1">
      <c r="A13" s="11"/>
      <c r="B13" s="109"/>
      <c r="C13" s="109"/>
      <c r="D13" s="109"/>
      <c r="E13" s="109"/>
      <c r="F13" s="109"/>
      <c r="G13" s="109"/>
      <c r="H13" s="109"/>
      <c r="I13" s="109"/>
      <c r="J13" s="29"/>
      <c r="K13" s="30"/>
      <c r="L13" s="31"/>
    </row>
    <row r="14" spans="1:17" s="14" customFormat="1" ht="17.25" customHeight="1">
      <c r="A14" s="110" t="s">
        <v>3</v>
      </c>
      <c r="B14" s="110"/>
      <c r="C14" s="110"/>
      <c r="D14" s="110"/>
      <c r="E14" s="32" t="s">
        <v>4</v>
      </c>
      <c r="F14" s="57" t="s">
        <v>91</v>
      </c>
      <c r="G14" s="57"/>
      <c r="H14" s="57" t="s">
        <v>27</v>
      </c>
      <c r="I14" s="111" t="s">
        <v>21</v>
      </c>
      <c r="J14" s="111"/>
      <c r="K14" s="67" t="s">
        <v>90</v>
      </c>
      <c r="L14" s="67"/>
    </row>
    <row r="15" spans="1:17" s="14" customFormat="1" ht="17.25" customHeight="1">
      <c r="A15" s="99" t="s">
        <v>31</v>
      </c>
      <c r="B15" s="100"/>
      <c r="C15" s="100"/>
      <c r="D15" s="101"/>
      <c r="E15" s="33"/>
      <c r="F15" s="34"/>
      <c r="G15" s="34"/>
      <c r="H15" s="35"/>
      <c r="I15" s="102">
        <f>SUM(I16:J20)</f>
        <v>9000000</v>
      </c>
      <c r="J15" s="102"/>
      <c r="K15" s="68"/>
      <c r="L15" s="69"/>
    </row>
    <row r="16" spans="1:17" s="14" customFormat="1" ht="17.25" customHeight="1">
      <c r="A16" s="105" t="s">
        <v>32</v>
      </c>
      <c r="B16" s="96"/>
      <c r="C16" s="96"/>
      <c r="D16" s="97"/>
      <c r="E16" s="33">
        <v>500000</v>
      </c>
      <c r="F16" s="71">
        <v>1</v>
      </c>
      <c r="G16" s="34"/>
      <c r="H16" s="35">
        <v>1</v>
      </c>
      <c r="I16" s="98">
        <f>E16</f>
        <v>500000</v>
      </c>
      <c r="J16" s="98"/>
      <c r="K16" s="36"/>
      <c r="L16" s="37"/>
    </row>
    <row r="17" spans="1:22" s="14" customFormat="1" ht="17.25" customHeight="1">
      <c r="A17" s="105" t="s">
        <v>38</v>
      </c>
      <c r="B17" s="96"/>
      <c r="C17" s="96"/>
      <c r="D17" s="97"/>
      <c r="E17" s="33">
        <v>2000000</v>
      </c>
      <c r="F17" s="71">
        <v>1</v>
      </c>
      <c r="G17" s="34"/>
      <c r="H17" s="35">
        <v>2</v>
      </c>
      <c r="I17" s="98">
        <f>E17*F17*H17</f>
        <v>4000000</v>
      </c>
      <c r="J17" s="98"/>
      <c r="K17" s="36"/>
      <c r="L17" s="37"/>
    </row>
    <row r="18" spans="1:22" s="14" customFormat="1" ht="17.25" customHeight="1">
      <c r="A18" s="95" t="s">
        <v>42</v>
      </c>
      <c r="B18" s="96"/>
      <c r="C18" s="96"/>
      <c r="D18" s="97"/>
      <c r="E18" s="33">
        <v>2000000</v>
      </c>
      <c r="F18" s="71">
        <v>1</v>
      </c>
      <c r="G18" s="34"/>
      <c r="H18" s="35">
        <v>1</v>
      </c>
      <c r="I18" s="98">
        <f>E18*F18*H18</f>
        <v>2000000</v>
      </c>
      <c r="J18" s="98"/>
      <c r="K18" s="36"/>
      <c r="L18" s="37"/>
    </row>
    <row r="19" spans="1:22" s="14" customFormat="1" ht="27" customHeight="1">
      <c r="A19" s="95" t="s">
        <v>43</v>
      </c>
      <c r="B19" s="96"/>
      <c r="C19" s="96"/>
      <c r="D19" s="97"/>
      <c r="E19" s="33">
        <v>2000000</v>
      </c>
      <c r="F19" s="71">
        <v>1</v>
      </c>
      <c r="G19" s="34"/>
      <c r="H19" s="35">
        <v>1</v>
      </c>
      <c r="I19" s="98">
        <f>E19*F19*H19</f>
        <v>2000000</v>
      </c>
      <c r="J19" s="98"/>
      <c r="K19" s="36"/>
      <c r="L19" s="37"/>
    </row>
    <row r="20" spans="1:22" s="14" customFormat="1" ht="17.25" customHeight="1">
      <c r="A20" s="105" t="s">
        <v>33</v>
      </c>
      <c r="B20" s="96"/>
      <c r="C20" s="96"/>
      <c r="D20" s="97"/>
      <c r="E20" s="33">
        <v>700000</v>
      </c>
      <c r="F20" s="71">
        <v>1</v>
      </c>
      <c r="G20" s="34"/>
      <c r="H20" s="35">
        <v>1</v>
      </c>
      <c r="I20" s="98">
        <v>500000</v>
      </c>
      <c r="J20" s="98"/>
      <c r="K20" s="103"/>
      <c r="L20" s="104"/>
    </row>
    <row r="21" spans="1:22" s="14" customFormat="1" ht="17.25" customHeight="1">
      <c r="A21" s="99" t="s">
        <v>35</v>
      </c>
      <c r="B21" s="100"/>
      <c r="C21" s="100"/>
      <c r="D21" s="101"/>
      <c r="E21" s="33"/>
      <c r="F21" s="71"/>
      <c r="G21" s="34"/>
      <c r="H21" s="35"/>
      <c r="I21" s="102">
        <f>SUM(I22:J25)</f>
        <v>9000000</v>
      </c>
      <c r="J21" s="102"/>
      <c r="K21" s="103"/>
      <c r="L21" s="104"/>
    </row>
    <row r="22" spans="1:22" s="14" customFormat="1" ht="17.25" customHeight="1">
      <c r="A22" s="105" t="s">
        <v>36</v>
      </c>
      <c r="B22" s="96"/>
      <c r="C22" s="96"/>
      <c r="D22" s="97"/>
      <c r="E22" s="33">
        <v>500000</v>
      </c>
      <c r="F22" s="71">
        <v>1</v>
      </c>
      <c r="G22" s="34"/>
      <c r="H22" s="35">
        <v>1</v>
      </c>
      <c r="I22" s="98">
        <f>E22</f>
        <v>500000</v>
      </c>
      <c r="J22" s="98"/>
      <c r="K22" s="36"/>
      <c r="L22" s="37"/>
    </row>
    <row r="23" spans="1:22" s="14" customFormat="1" ht="30.4" customHeight="1">
      <c r="A23" s="95" t="s">
        <v>39</v>
      </c>
      <c r="B23" s="96"/>
      <c r="C23" s="96"/>
      <c r="D23" s="97"/>
      <c r="E23" s="33">
        <v>4000000</v>
      </c>
      <c r="F23" s="71">
        <v>1</v>
      </c>
      <c r="G23" s="34"/>
      <c r="H23" s="35">
        <v>1</v>
      </c>
      <c r="I23" s="98">
        <f t="shared" ref="I23:I25" si="0">E23</f>
        <v>4000000</v>
      </c>
      <c r="J23" s="98"/>
      <c r="K23" s="36"/>
      <c r="L23" s="37"/>
    </row>
    <row r="24" spans="1:22" s="14" customFormat="1" ht="17.25" customHeight="1">
      <c r="A24" s="105" t="s">
        <v>37</v>
      </c>
      <c r="B24" s="96"/>
      <c r="C24" s="96"/>
      <c r="D24" s="97"/>
      <c r="E24" s="33">
        <v>3500000</v>
      </c>
      <c r="F24" s="71">
        <v>1</v>
      </c>
      <c r="G24" s="34"/>
      <c r="H24" s="35">
        <v>1</v>
      </c>
      <c r="I24" s="98">
        <f>E24*F24*H24</f>
        <v>3500000</v>
      </c>
      <c r="J24" s="98"/>
      <c r="K24" s="36"/>
      <c r="L24" s="37"/>
    </row>
    <row r="25" spans="1:22" s="14" customFormat="1" ht="17.25" customHeight="1">
      <c r="A25" s="105" t="s">
        <v>33</v>
      </c>
      <c r="B25" s="96"/>
      <c r="C25" s="96"/>
      <c r="D25" s="97"/>
      <c r="E25" s="33">
        <v>1000000</v>
      </c>
      <c r="F25" s="71">
        <v>1</v>
      </c>
      <c r="G25" s="34"/>
      <c r="H25" s="35">
        <v>1</v>
      </c>
      <c r="I25" s="98">
        <f t="shared" si="0"/>
        <v>1000000</v>
      </c>
      <c r="J25" s="98"/>
      <c r="K25" s="103"/>
      <c r="L25" s="104"/>
    </row>
    <row r="26" spans="1:22" s="14" customFormat="1" ht="17.25" customHeight="1">
      <c r="A26" s="86" t="s">
        <v>25</v>
      </c>
      <c r="B26" s="86"/>
      <c r="C26" s="86"/>
      <c r="D26" s="86"/>
      <c r="E26" s="86"/>
      <c r="F26" s="86"/>
      <c r="G26" s="86"/>
      <c r="H26" s="86"/>
      <c r="I26" s="87">
        <f>I15+I21</f>
        <v>18000000</v>
      </c>
      <c r="J26" s="87"/>
      <c r="K26" s="88"/>
      <c r="L26" s="89"/>
      <c r="M26" s="15"/>
      <c r="V26" s="38"/>
    </row>
    <row r="27" spans="1:22" s="14" customFormat="1" ht="17.25" customHeight="1">
      <c r="A27" s="90" t="s">
        <v>22</v>
      </c>
      <c r="B27" s="91"/>
      <c r="C27" s="91"/>
      <c r="D27" s="91"/>
      <c r="E27" s="91"/>
      <c r="F27" s="91"/>
      <c r="G27" s="91"/>
      <c r="H27" s="92"/>
      <c r="I27" s="93">
        <f>I26*0.1</f>
        <v>1800000</v>
      </c>
      <c r="J27" s="94"/>
      <c r="K27" s="39"/>
      <c r="L27" s="40"/>
      <c r="M27" s="15"/>
      <c r="Q27" s="41"/>
    </row>
    <row r="28" spans="1:22" s="14" customFormat="1" ht="22.05" customHeight="1">
      <c r="A28" s="72" t="s">
        <v>5</v>
      </c>
      <c r="B28" s="73"/>
      <c r="C28" s="73"/>
      <c r="D28" s="73"/>
      <c r="E28" s="73"/>
      <c r="F28" s="73"/>
      <c r="G28" s="73"/>
      <c r="H28" s="73"/>
      <c r="I28" s="74">
        <f>SUM(I27,I26)</f>
        <v>19800000</v>
      </c>
      <c r="J28" s="75"/>
      <c r="K28" s="42"/>
      <c r="L28" s="43"/>
    </row>
    <row r="29" spans="1:22" s="14" customFormat="1" ht="22.05" customHeight="1">
      <c r="A29" s="76" t="s">
        <v>6</v>
      </c>
      <c r="B29" s="77"/>
      <c r="C29" s="78"/>
      <c r="D29" s="1" t="s">
        <v>29</v>
      </c>
      <c r="E29" s="44"/>
      <c r="F29" s="45"/>
      <c r="G29" s="45"/>
      <c r="H29" s="45"/>
      <c r="I29" s="46"/>
      <c r="J29" s="46"/>
      <c r="K29" s="46"/>
      <c r="L29" s="47"/>
    </row>
    <row r="30" spans="1:22" s="14" customFormat="1" ht="22.05" customHeight="1">
      <c r="A30" s="79"/>
      <c r="B30" s="80"/>
      <c r="C30" s="81"/>
      <c r="D30" s="1" t="s">
        <v>12</v>
      </c>
      <c r="E30" s="44"/>
      <c r="F30" s="45"/>
      <c r="G30" s="45"/>
      <c r="H30" s="45"/>
      <c r="I30" s="44"/>
      <c r="J30" s="44"/>
      <c r="K30" s="44"/>
      <c r="L30" s="18"/>
    </row>
    <row r="31" spans="1:22" s="14" customFormat="1" ht="22.05" customHeight="1">
      <c r="A31" s="82"/>
      <c r="B31" s="83"/>
      <c r="C31" s="84"/>
      <c r="D31" s="2" t="s">
        <v>13</v>
      </c>
      <c r="E31" s="50"/>
      <c r="F31" s="50"/>
      <c r="G31" s="50"/>
      <c r="H31" s="50"/>
      <c r="I31" s="50"/>
      <c r="J31" s="50"/>
      <c r="K31" s="50"/>
      <c r="L31" s="31"/>
    </row>
    <row r="32" spans="1:22" s="14" customFormat="1" ht="30.75" customHeight="1">
      <c r="A32" s="11"/>
      <c r="B32" s="48"/>
      <c r="C32" s="48"/>
      <c r="D32" s="51"/>
      <c r="E32" s="44"/>
      <c r="F32" s="45"/>
      <c r="G32" s="45"/>
      <c r="H32" s="45"/>
      <c r="I32" s="44"/>
      <c r="J32" s="44"/>
      <c r="K32" s="44"/>
      <c r="L32" s="18"/>
    </row>
    <row r="33" spans="1:12" s="14" customFormat="1" ht="28.05" customHeight="1">
      <c r="A33" s="11"/>
      <c r="B33" s="48"/>
      <c r="C33" s="48"/>
      <c r="E33" s="85" t="s">
        <v>9</v>
      </c>
      <c r="F33" s="85"/>
      <c r="G33" s="85"/>
      <c r="H33" s="85"/>
      <c r="I33" s="52" t="s">
        <v>23</v>
      </c>
      <c r="J33" s="52"/>
      <c r="K33" s="52"/>
      <c r="L33" s="18"/>
    </row>
    <row r="34" spans="1:12" s="14" customFormat="1" ht="30.75" customHeight="1">
      <c r="A34" s="53"/>
      <c r="B34" s="49"/>
      <c r="C34" s="49"/>
      <c r="D34" s="54"/>
      <c r="E34" s="54"/>
      <c r="F34" s="55"/>
      <c r="G34" s="55"/>
      <c r="H34" s="55"/>
      <c r="I34" s="54"/>
      <c r="J34" s="54"/>
      <c r="K34" s="54"/>
      <c r="L34" s="31"/>
    </row>
    <row r="35" spans="1:12" s="14" customFormat="1" ht="20" customHeight="1"/>
    <row r="36" spans="1:12" s="14" customFormat="1" ht="20" customHeight="1"/>
    <row r="37" spans="1:12" s="14" customFormat="1" ht="20" customHeight="1"/>
    <row r="38" spans="1:12" s="14" customFormat="1" ht="25.5" customHeight="1"/>
    <row r="39" spans="1:12" s="14" customFormat="1" ht="27.75" customHeight="1"/>
    <row r="40" spans="1:12" s="14" customFormat="1" ht="15.75">
      <c r="E40" s="56"/>
      <c r="I40" s="15"/>
      <c r="J40" s="15"/>
      <c r="K40" s="15"/>
    </row>
    <row r="41" spans="1:12" s="14" customFormat="1" ht="15.75">
      <c r="E41" s="56"/>
      <c r="I41" s="15"/>
      <c r="J41" s="15"/>
      <c r="K41" s="15"/>
    </row>
    <row r="42" spans="1:12" s="14" customFormat="1" ht="15.75">
      <c r="E42" s="56"/>
      <c r="I42" s="15"/>
      <c r="J42" s="15"/>
      <c r="K42" s="15"/>
    </row>
    <row r="43" spans="1:12" s="14" customFormat="1" ht="15.75">
      <c r="E43" s="56"/>
      <c r="I43" s="15"/>
      <c r="J43" s="15"/>
      <c r="K43" s="15"/>
    </row>
    <row r="44" spans="1:12" s="14" customFormat="1" ht="15.75">
      <c r="E44" s="56"/>
      <c r="I44" s="15"/>
      <c r="J44" s="15"/>
      <c r="K44" s="15"/>
    </row>
    <row r="45" spans="1:12" s="14" customFormat="1" ht="15.75">
      <c r="E45" s="56"/>
      <c r="I45" s="15"/>
      <c r="J45" s="15"/>
      <c r="K45" s="15"/>
    </row>
    <row r="46" spans="1:12" s="14" customFormat="1" ht="15.75">
      <c r="E46" s="56"/>
      <c r="I46" s="15"/>
      <c r="J46" s="15"/>
      <c r="K46" s="15"/>
    </row>
    <row r="47" spans="1:12" s="14" customFormat="1" ht="15.75">
      <c r="E47" s="56"/>
      <c r="I47" s="15"/>
      <c r="J47" s="15"/>
      <c r="K47" s="15"/>
    </row>
    <row r="48" spans="1:12" s="14" customFormat="1" ht="15.75">
      <c r="E48" s="56"/>
      <c r="I48" s="15"/>
      <c r="J48" s="15"/>
      <c r="K48" s="15"/>
    </row>
    <row r="49" spans="5:11" s="14" customFormat="1" ht="15.75">
      <c r="E49" s="56"/>
      <c r="I49" s="15"/>
      <c r="J49" s="15"/>
      <c r="K49" s="15"/>
    </row>
    <row r="50" spans="5:11" s="14" customFormat="1" ht="15.75">
      <c r="E50" s="56"/>
      <c r="I50" s="15"/>
      <c r="J50" s="15"/>
      <c r="K50" s="15"/>
    </row>
    <row r="51" spans="5:11" s="14" customFormat="1" ht="15.75">
      <c r="E51" s="56"/>
      <c r="I51" s="15"/>
      <c r="J51" s="15"/>
      <c r="K51" s="15"/>
    </row>
    <row r="52" spans="5:11" s="14" customFormat="1" ht="15.75">
      <c r="E52" s="56"/>
      <c r="I52" s="15"/>
      <c r="J52" s="15"/>
      <c r="K52" s="15"/>
    </row>
    <row r="53" spans="5:11" s="14" customFormat="1" ht="15.75">
      <c r="E53" s="56"/>
      <c r="I53" s="15"/>
      <c r="J53" s="15"/>
      <c r="K53" s="15"/>
    </row>
    <row r="54" spans="5:11" s="14" customFormat="1" ht="15.75">
      <c r="E54" s="56"/>
      <c r="I54" s="15"/>
      <c r="J54" s="15"/>
      <c r="K54" s="15"/>
    </row>
    <row r="55" spans="5:11" s="14" customFormat="1" ht="15.75">
      <c r="E55" s="56"/>
      <c r="I55" s="15"/>
      <c r="J55" s="15"/>
      <c r="K55" s="15"/>
    </row>
    <row r="56" spans="5:11" s="14" customFormat="1" ht="15.75">
      <c r="E56" s="56"/>
      <c r="I56" s="15"/>
      <c r="J56" s="15"/>
      <c r="K56" s="15"/>
    </row>
    <row r="57" spans="5:11" s="14" customFormat="1" ht="15.75">
      <c r="E57" s="56"/>
      <c r="I57" s="15"/>
      <c r="J57" s="15"/>
      <c r="K57" s="15"/>
    </row>
    <row r="58" spans="5:11" s="14" customFormat="1" ht="15.75">
      <c r="E58" s="56"/>
      <c r="I58" s="15"/>
      <c r="J58" s="15"/>
      <c r="K58" s="15"/>
    </row>
    <row r="59" spans="5:11" s="14" customFormat="1" ht="15.75">
      <c r="E59" s="56"/>
      <c r="I59" s="15"/>
      <c r="J59" s="15"/>
      <c r="K59" s="15"/>
    </row>
    <row r="60" spans="5:11" s="14" customFormat="1" ht="15.75">
      <c r="E60" s="56"/>
      <c r="I60" s="15"/>
      <c r="J60" s="15"/>
      <c r="K60" s="15"/>
    </row>
    <row r="61" spans="5:11" s="14" customFormat="1" ht="15.75">
      <c r="E61" s="56"/>
      <c r="I61" s="15"/>
      <c r="J61" s="15"/>
      <c r="K61" s="15"/>
    </row>
    <row r="62" spans="5:11" s="14" customFormat="1" ht="15.75">
      <c r="E62" s="56"/>
      <c r="I62" s="15"/>
      <c r="J62" s="15"/>
      <c r="K62" s="15"/>
    </row>
    <row r="63" spans="5:11" s="14" customFormat="1" ht="15.75">
      <c r="E63" s="56"/>
      <c r="I63" s="15"/>
      <c r="J63" s="15"/>
      <c r="K63" s="15"/>
    </row>
    <row r="64" spans="5:11" s="14" customFormat="1" ht="15.75">
      <c r="E64" s="56"/>
      <c r="I64" s="15"/>
      <c r="J64" s="15"/>
      <c r="K64" s="15"/>
    </row>
    <row r="65" spans="5:11" s="14" customFormat="1" ht="15.75">
      <c r="E65" s="56"/>
      <c r="I65" s="15"/>
      <c r="J65" s="15"/>
      <c r="K65" s="15"/>
    </row>
    <row r="66" spans="5:11" s="14" customFormat="1" ht="15.75">
      <c r="E66" s="56"/>
      <c r="I66" s="15"/>
      <c r="J66" s="15"/>
      <c r="K66" s="15"/>
    </row>
    <row r="67" spans="5:11" s="14" customFormat="1" ht="15.75">
      <c r="E67" s="56"/>
      <c r="I67" s="15"/>
      <c r="J67" s="15"/>
      <c r="K67" s="15"/>
    </row>
    <row r="68" spans="5:11" s="14" customFormat="1" ht="15.75">
      <c r="E68" s="56"/>
      <c r="I68" s="15"/>
      <c r="J68" s="15"/>
      <c r="K68" s="15"/>
    </row>
    <row r="69" spans="5:11" s="14" customFormat="1" ht="15.75">
      <c r="E69" s="56"/>
      <c r="I69" s="15"/>
      <c r="J69" s="15"/>
      <c r="K69" s="15"/>
    </row>
    <row r="70" spans="5:11" s="14" customFormat="1" ht="15.75">
      <c r="E70" s="56"/>
      <c r="I70" s="15"/>
      <c r="J70" s="15"/>
      <c r="K70" s="15"/>
    </row>
    <row r="71" spans="5:11" s="14" customFormat="1" ht="15.75">
      <c r="E71" s="56"/>
      <c r="I71" s="15"/>
      <c r="J71" s="15"/>
      <c r="K71" s="15"/>
    </row>
    <row r="72" spans="5:11" s="14" customFormat="1" ht="15.75">
      <c r="E72" s="56"/>
      <c r="I72" s="15"/>
      <c r="J72" s="15"/>
      <c r="K72" s="15"/>
    </row>
    <row r="73" spans="5:11" s="14" customFormat="1" ht="15.75">
      <c r="E73" s="56"/>
      <c r="I73" s="15"/>
      <c r="J73" s="15"/>
      <c r="K73" s="15"/>
    </row>
    <row r="74" spans="5:11" s="14" customFormat="1" ht="15.75">
      <c r="E74" s="56"/>
      <c r="I74" s="15"/>
      <c r="J74" s="15"/>
      <c r="K74" s="15"/>
    </row>
    <row r="75" spans="5:11" s="14" customFormat="1" ht="15.75">
      <c r="E75" s="56"/>
      <c r="I75" s="15"/>
      <c r="J75" s="15"/>
      <c r="K75" s="15"/>
    </row>
    <row r="76" spans="5:11" s="14" customFormat="1" ht="15.75">
      <c r="E76" s="56"/>
      <c r="I76" s="15"/>
      <c r="J76" s="15"/>
      <c r="K76" s="15"/>
    </row>
    <row r="77" spans="5:11" s="14" customFormat="1" ht="15.75">
      <c r="E77" s="56"/>
      <c r="I77" s="15"/>
      <c r="J77" s="15"/>
      <c r="K77" s="15"/>
    </row>
    <row r="78" spans="5:11" s="14" customFormat="1" ht="15.75">
      <c r="E78" s="56"/>
      <c r="I78" s="15"/>
      <c r="J78" s="15"/>
      <c r="K78" s="15"/>
    </row>
    <row r="79" spans="5:11" s="14" customFormat="1" ht="15.75">
      <c r="E79" s="56"/>
      <c r="I79" s="15"/>
      <c r="J79" s="15"/>
      <c r="K79" s="15"/>
    </row>
    <row r="80" spans="5:11" s="14" customFormat="1" ht="15.75">
      <c r="E80" s="56"/>
      <c r="I80" s="15"/>
      <c r="J80" s="15"/>
      <c r="K80" s="15"/>
    </row>
    <row r="81" spans="5:11" s="14" customFormat="1" ht="15.75">
      <c r="E81" s="56"/>
      <c r="I81" s="15"/>
      <c r="J81" s="15"/>
      <c r="K81" s="15"/>
    </row>
    <row r="82" spans="5:11" s="14" customFormat="1" ht="15.75">
      <c r="E82" s="56"/>
      <c r="I82" s="15"/>
      <c r="J82" s="15"/>
      <c r="K82" s="15"/>
    </row>
    <row r="83" spans="5:11" s="14" customFormat="1" ht="15.75">
      <c r="E83" s="56"/>
      <c r="I83" s="15"/>
      <c r="J83" s="15"/>
      <c r="K83" s="15"/>
    </row>
    <row r="84" spans="5:11" s="14" customFormat="1" ht="15.75">
      <c r="E84" s="56"/>
      <c r="I84" s="15"/>
      <c r="J84" s="15"/>
      <c r="K84" s="15"/>
    </row>
    <row r="85" spans="5:11" s="14" customFormat="1" ht="15.75">
      <c r="E85" s="56"/>
      <c r="I85" s="15"/>
      <c r="J85" s="15"/>
      <c r="K85" s="15"/>
    </row>
    <row r="86" spans="5:11" s="14" customFormat="1" ht="15.75">
      <c r="E86" s="56"/>
      <c r="I86" s="15"/>
      <c r="J86" s="15"/>
      <c r="K86" s="15"/>
    </row>
    <row r="87" spans="5:11" s="14" customFormat="1" ht="15.75">
      <c r="E87" s="56"/>
      <c r="I87" s="15"/>
      <c r="J87" s="15"/>
      <c r="K87" s="15"/>
    </row>
    <row r="88" spans="5:11" s="14" customFormat="1" ht="15.75">
      <c r="E88" s="56"/>
      <c r="I88" s="15"/>
      <c r="J88" s="15"/>
      <c r="K88" s="15"/>
    </row>
    <row r="89" spans="5:11" s="14" customFormat="1" ht="15.75">
      <c r="E89" s="56"/>
      <c r="I89" s="15"/>
      <c r="J89" s="15"/>
      <c r="K89" s="15"/>
    </row>
    <row r="90" spans="5:11" s="14" customFormat="1" ht="15.75">
      <c r="E90" s="56"/>
      <c r="I90" s="15"/>
      <c r="J90" s="15"/>
      <c r="K90" s="15"/>
    </row>
    <row r="91" spans="5:11" s="14" customFormat="1" ht="15.75">
      <c r="E91" s="56"/>
      <c r="I91" s="15"/>
      <c r="J91" s="15"/>
      <c r="K91" s="15"/>
    </row>
    <row r="92" spans="5:11" s="14" customFormat="1" ht="15.75">
      <c r="E92" s="56"/>
      <c r="I92" s="15"/>
      <c r="J92" s="15"/>
      <c r="K92" s="15"/>
    </row>
    <row r="93" spans="5:11" s="14" customFormat="1" ht="15.75">
      <c r="E93" s="56"/>
      <c r="I93" s="15"/>
      <c r="J93" s="15"/>
      <c r="K93" s="15"/>
    </row>
    <row r="94" spans="5:11" s="14" customFormat="1" ht="15.75">
      <c r="E94" s="56"/>
      <c r="I94" s="15"/>
      <c r="J94" s="15"/>
      <c r="K94" s="15"/>
    </row>
    <row r="95" spans="5:11" s="14" customFormat="1" ht="15.75">
      <c r="E95" s="56"/>
      <c r="I95" s="15"/>
      <c r="J95" s="15"/>
      <c r="K95" s="15"/>
    </row>
    <row r="96" spans="5:11" s="14" customFormat="1" ht="15.75">
      <c r="E96" s="56"/>
      <c r="I96" s="15"/>
      <c r="J96" s="15"/>
      <c r="K96" s="15"/>
    </row>
    <row r="97" spans="9:11" s="14" customFormat="1" ht="15.75">
      <c r="I97" s="15"/>
      <c r="J97" s="15"/>
      <c r="K97" s="15"/>
    </row>
    <row r="98" spans="9:11" s="14" customFormat="1" ht="15.75">
      <c r="I98" s="15"/>
      <c r="J98" s="15"/>
      <c r="K98" s="15"/>
    </row>
    <row r="99" spans="9:11" s="14" customFormat="1" ht="15.75">
      <c r="I99" s="15"/>
      <c r="J99" s="15"/>
      <c r="K99" s="15"/>
    </row>
    <row r="100" spans="9:11" s="14" customFormat="1" ht="15.75">
      <c r="I100" s="15"/>
      <c r="J100" s="15"/>
      <c r="K100" s="15"/>
    </row>
    <row r="101" spans="9:11" s="14" customFormat="1" ht="15.75">
      <c r="I101" s="15"/>
      <c r="J101" s="15"/>
      <c r="K101" s="15"/>
    </row>
    <row r="102" spans="9:11" s="14" customFormat="1" ht="15.75">
      <c r="I102" s="15"/>
      <c r="J102" s="15"/>
      <c r="K102" s="15"/>
    </row>
    <row r="103" spans="9:11" s="14" customFormat="1" ht="15.75">
      <c r="I103" s="15"/>
      <c r="J103" s="15"/>
      <c r="K103" s="15"/>
    </row>
    <row r="104" spans="9:11" s="14" customFormat="1" ht="15.75">
      <c r="I104" s="15"/>
      <c r="J104" s="15"/>
      <c r="K104" s="15"/>
    </row>
    <row r="105" spans="9:11" s="14" customFormat="1" ht="15.75">
      <c r="I105" s="15"/>
      <c r="J105" s="15"/>
      <c r="K105" s="15"/>
    </row>
    <row r="106" spans="9:11" s="14" customFormat="1" ht="15.75">
      <c r="I106" s="15"/>
      <c r="J106" s="15"/>
      <c r="K106" s="15"/>
    </row>
    <row r="107" spans="9:11" s="14" customFormat="1" ht="15.75">
      <c r="I107" s="15"/>
      <c r="J107" s="15"/>
      <c r="K107" s="15"/>
    </row>
    <row r="108" spans="9:11" s="14" customFormat="1" ht="15.75">
      <c r="I108" s="15"/>
      <c r="J108" s="15"/>
      <c r="K108" s="15"/>
    </row>
    <row r="109" spans="9:11" s="14" customFormat="1" ht="15.75">
      <c r="I109" s="15"/>
      <c r="J109" s="15"/>
      <c r="K109" s="15"/>
    </row>
    <row r="110" spans="9:11" s="14" customFormat="1" ht="15.75">
      <c r="I110" s="15"/>
      <c r="J110" s="15"/>
      <c r="K110" s="15"/>
    </row>
    <row r="111" spans="9:11" s="14" customFormat="1" ht="15.75">
      <c r="I111" s="15"/>
      <c r="J111" s="15"/>
      <c r="K111" s="15"/>
    </row>
    <row r="112" spans="9:11" s="14" customFormat="1" ht="15.75">
      <c r="I112" s="15"/>
      <c r="J112" s="15"/>
      <c r="K112" s="15"/>
    </row>
    <row r="113" s="14" customFormat="1" ht="15.75"/>
    <row r="114" s="14" customFormat="1" ht="15.75"/>
    <row r="115" s="14" customFormat="1" ht="15.75"/>
    <row r="116" s="14" customFormat="1" ht="15.75"/>
    <row r="117" s="14" customFormat="1" ht="15.75"/>
    <row r="118" s="14" customFormat="1" ht="15.75"/>
    <row r="119" s="14" customFormat="1" ht="15.75"/>
    <row r="120" s="14" customFormat="1" ht="15.75"/>
    <row r="121" s="14" customFormat="1" ht="15.75"/>
    <row r="122" s="14" customFormat="1" ht="15.75"/>
    <row r="123" s="14" customFormat="1" ht="15.75"/>
    <row r="124" s="14" customFormat="1" ht="15.75"/>
    <row r="125" s="14" customFormat="1" ht="15.75"/>
    <row r="126" s="14" customFormat="1" ht="15.75"/>
    <row r="127" s="14" customFormat="1" ht="15.75"/>
    <row r="128" s="14" customFormat="1" ht="15.75"/>
    <row r="129" s="14" customFormat="1" ht="15.75"/>
    <row r="130" s="14" customFormat="1" ht="15.75"/>
    <row r="131" s="14" customFormat="1" ht="15.75"/>
    <row r="132" s="14" customFormat="1" ht="15.75"/>
    <row r="133" s="14" customFormat="1" ht="15.75"/>
    <row r="134" s="14" customFormat="1" ht="15.75"/>
    <row r="135" s="14" customFormat="1" ht="15.75"/>
    <row r="136" s="14" customFormat="1" ht="15.75"/>
    <row r="137" s="14" customFormat="1" ht="15.75"/>
    <row r="138" s="14" customFormat="1" ht="15.75"/>
    <row r="139" s="14" customFormat="1" ht="15.75"/>
    <row r="140" s="14" customFormat="1" ht="15.75"/>
    <row r="141" s="14" customFormat="1" ht="15.75"/>
    <row r="142" s="14" customFormat="1" ht="15.75"/>
    <row r="143" s="14" customFormat="1" ht="15.75"/>
    <row r="144" s="14" customFormat="1" ht="15.75"/>
    <row r="145" s="14" customFormat="1" ht="15.75"/>
    <row r="146" s="14" customFormat="1" ht="15.75"/>
    <row r="147" s="14" customFormat="1" ht="15.75"/>
    <row r="148" s="14" customFormat="1" ht="15.75"/>
    <row r="149" s="14" customFormat="1" ht="15.75"/>
    <row r="150" s="14" customFormat="1" ht="15.75"/>
    <row r="151" s="14" customFormat="1" ht="15.75"/>
    <row r="152" s="14" customFormat="1" ht="15.75"/>
    <row r="153" s="14" customFormat="1" ht="15.75"/>
    <row r="154" s="14" customFormat="1" ht="15.75"/>
    <row r="155" s="14" customFormat="1" ht="15.75"/>
    <row r="156" s="14" customFormat="1" ht="15.75"/>
    <row r="157" s="14" customFormat="1" ht="15.75"/>
    <row r="158" s="14" customFormat="1" ht="15.75"/>
    <row r="159" s="14" customFormat="1" ht="15.75"/>
    <row r="160" s="14" customFormat="1" ht="15.75"/>
    <row r="161" s="14" customFormat="1" ht="15.75"/>
    <row r="162" s="14" customFormat="1" ht="15.75"/>
    <row r="163" s="14" customFormat="1" ht="15.75"/>
    <row r="164" s="14" customFormat="1" ht="15.75"/>
    <row r="165" s="14" customFormat="1" ht="15.75"/>
    <row r="166" s="14" customFormat="1" ht="15.75"/>
    <row r="167" s="14" customFormat="1" ht="15.75"/>
    <row r="168" s="14" customFormat="1" ht="15.75"/>
    <row r="169" s="14" customFormat="1" ht="15.75"/>
    <row r="170" s="14" customFormat="1" ht="15.75"/>
    <row r="171" s="14" customFormat="1" ht="15.75"/>
    <row r="172" s="14" customFormat="1" ht="15.75"/>
    <row r="173" s="14" customFormat="1" ht="15.75"/>
    <row r="174" s="14" customFormat="1" ht="15.75"/>
    <row r="175" s="14" customFormat="1" ht="15.75"/>
    <row r="176" s="14" customFormat="1" ht="15.75"/>
    <row r="177" s="14" customFormat="1" ht="15.75"/>
    <row r="178" s="14" customFormat="1" ht="15.75"/>
    <row r="179" s="14" customFormat="1" ht="15.75"/>
  </sheetData>
  <mergeCells count="47">
    <mergeCell ref="E33:H33"/>
    <mergeCell ref="I28:J28"/>
    <mergeCell ref="I27:J27"/>
    <mergeCell ref="I26:J26"/>
    <mergeCell ref="A26:H26"/>
    <mergeCell ref="A28:H28"/>
    <mergeCell ref="A29:C31"/>
    <mergeCell ref="A27:H27"/>
    <mergeCell ref="K26:L26"/>
    <mergeCell ref="K25:L25"/>
    <mergeCell ref="B13:I13"/>
    <mergeCell ref="I10:J10"/>
    <mergeCell ref="A22:D22"/>
    <mergeCell ref="A23:D23"/>
    <mergeCell ref="A14:D14"/>
    <mergeCell ref="I22:J22"/>
    <mergeCell ref="I23:J23"/>
    <mergeCell ref="A25:D25"/>
    <mergeCell ref="I21:J21"/>
    <mergeCell ref="A24:D24"/>
    <mergeCell ref="I24:J24"/>
    <mergeCell ref="A21:D21"/>
    <mergeCell ref="I25:J25"/>
    <mergeCell ref="K21:L21"/>
    <mergeCell ref="I4:K4"/>
    <mergeCell ref="I3:K3"/>
    <mergeCell ref="I14:J14"/>
    <mergeCell ref="I8:K8"/>
    <mergeCell ref="B12:K12"/>
    <mergeCell ref="I5:K5"/>
    <mergeCell ref="B10:D10"/>
    <mergeCell ref="I7:K7"/>
    <mergeCell ref="B6:E6"/>
    <mergeCell ref="A15:D15"/>
    <mergeCell ref="I15:J15"/>
    <mergeCell ref="A16:D16"/>
    <mergeCell ref="I16:J16"/>
    <mergeCell ref="I6:K6"/>
    <mergeCell ref="K20:L20"/>
    <mergeCell ref="A17:D17"/>
    <mergeCell ref="I17:J17"/>
    <mergeCell ref="A19:D19"/>
    <mergeCell ref="I19:J19"/>
    <mergeCell ref="A20:D20"/>
    <mergeCell ref="I20:J20"/>
    <mergeCell ref="A18:D18"/>
    <mergeCell ref="I18:J18"/>
  </mergeCells>
  <phoneticPr fontId="2" type="noConversion"/>
  <hyperlinks>
    <hyperlink ref="I7" r:id="rId1" xr:uid="{BC30F755-3A8C-4F3C-83B1-4BE95AF35AD4}"/>
  </hyperlinks>
  <printOptions gridLinesSet="0"/>
  <pageMargins left="0.25" right="0.25" top="0.75" bottom="0.75" header="0.3" footer="0.3"/>
  <pageSetup paperSize="9" scale="86" orientation="portrait" r:id="rId2"/>
  <headerFooter alignWithMargins="0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CBBCF-FB5D-4791-A8AB-BABA13CC7AC0}">
  <dimension ref="A1:U184"/>
  <sheetViews>
    <sheetView view="pageBreakPreview" topLeftCell="A7" zoomScale="145" zoomScaleNormal="100" zoomScaleSheetLayoutView="145" workbookViewId="0">
      <selection activeCell="F40" sqref="F40"/>
    </sheetView>
  </sheetViews>
  <sheetFormatPr defaultColWidth="9" defaultRowHeight="19.149999999999999"/>
  <cols>
    <col min="1" max="1" width="2.1875" style="6" customWidth="1"/>
    <col min="2" max="2" width="9.5" style="6" customWidth="1"/>
    <col min="3" max="3" width="7.1875" style="6" customWidth="1"/>
    <col min="4" max="4" width="7.6875" style="6" customWidth="1"/>
    <col min="5" max="5" width="12" style="6" customWidth="1"/>
    <col min="6" max="6" width="6.5" style="6" customWidth="1"/>
    <col min="7" max="7" width="9.3125" style="6" customWidth="1"/>
    <col min="8" max="8" width="17.1875" style="6" customWidth="1"/>
    <col min="9" max="9" width="5.5" style="6" customWidth="1"/>
    <col min="10" max="10" width="14.8125" style="6" customWidth="1"/>
    <col min="11" max="11" width="5.1875" style="6" customWidth="1"/>
    <col min="12" max="12" width="10.1875" style="6" bestFit="1" customWidth="1"/>
    <col min="13" max="15" width="9" style="6"/>
    <col min="16" max="16" width="11.1875" style="6" bestFit="1" customWidth="1"/>
    <col min="17" max="16384" width="9" style="6"/>
  </cols>
  <sheetData>
    <row r="1" spans="1:16">
      <c r="A1" s="3"/>
      <c r="B1" s="4"/>
      <c r="C1" s="4"/>
      <c r="D1" s="4"/>
      <c r="E1" s="4"/>
      <c r="F1" s="4"/>
      <c r="G1" s="4"/>
      <c r="H1" s="4"/>
      <c r="I1" s="4"/>
      <c r="J1" s="4"/>
      <c r="K1" s="5"/>
    </row>
    <row r="2" spans="1:16" s="10" customFormat="1" ht="55.5" customHeight="1">
      <c r="A2" s="7" t="s">
        <v>19</v>
      </c>
      <c r="B2" s="8"/>
      <c r="C2" s="8"/>
      <c r="D2" s="8"/>
      <c r="E2" s="8"/>
      <c r="F2" s="8"/>
      <c r="G2" s="8"/>
      <c r="H2" s="9"/>
      <c r="I2" s="9"/>
      <c r="J2" s="9"/>
      <c r="K2" s="8"/>
    </row>
    <row r="3" spans="1:16" s="14" customFormat="1" ht="15.75" customHeight="1">
      <c r="A3" s="11"/>
      <c r="B3" s="12"/>
      <c r="C3" s="12"/>
      <c r="D3" s="12"/>
      <c r="E3" s="12"/>
      <c r="F3" s="114" t="s">
        <v>18</v>
      </c>
      <c r="G3" s="114"/>
      <c r="H3" s="120" t="s">
        <v>9</v>
      </c>
      <c r="I3" s="96"/>
      <c r="J3" s="97"/>
      <c r="K3" s="13"/>
      <c r="P3" s="15"/>
    </row>
    <row r="4" spans="1:16" s="14" customFormat="1" ht="15.75" customHeight="1">
      <c r="A4" s="11"/>
      <c r="B4" s="16" t="s">
        <v>30</v>
      </c>
      <c r="C4" s="16" t="s">
        <v>40</v>
      </c>
      <c r="D4" s="16" t="s">
        <v>41</v>
      </c>
      <c r="E4" s="12"/>
      <c r="F4" s="114" t="s">
        <v>7</v>
      </c>
      <c r="G4" s="114"/>
      <c r="H4" s="115" t="s">
        <v>10</v>
      </c>
      <c r="I4" s="115"/>
      <c r="J4" s="116"/>
      <c r="K4" s="13"/>
      <c r="P4" s="15"/>
    </row>
    <row r="5" spans="1:16" s="14" customFormat="1" ht="15.75" customHeight="1">
      <c r="A5" s="11"/>
      <c r="B5" s="12"/>
      <c r="C5" s="12"/>
      <c r="D5" s="12"/>
      <c r="E5" s="12"/>
      <c r="F5" s="114" t="s">
        <v>17</v>
      </c>
      <c r="G5" s="114"/>
      <c r="H5" s="115" t="s">
        <v>8</v>
      </c>
      <c r="I5" s="115"/>
      <c r="J5" s="116"/>
      <c r="K5" s="13"/>
    </row>
    <row r="6" spans="1:16" s="14" customFormat="1" ht="40.049999999999997" customHeight="1">
      <c r="A6" s="11"/>
      <c r="B6" s="112" t="s">
        <v>34</v>
      </c>
      <c r="C6" s="113"/>
      <c r="D6" s="113"/>
      <c r="E6" s="113"/>
      <c r="F6" s="114" t="s">
        <v>24</v>
      </c>
      <c r="G6" s="114"/>
      <c r="H6" s="115" t="s">
        <v>14</v>
      </c>
      <c r="I6" s="115"/>
      <c r="J6" s="116"/>
      <c r="K6" s="13"/>
    </row>
    <row r="7" spans="1:16" s="14" customFormat="1" ht="15.75" customHeight="1">
      <c r="A7" s="11"/>
      <c r="B7" s="12" t="s">
        <v>20</v>
      </c>
      <c r="C7" s="17"/>
      <c r="D7" s="17"/>
      <c r="E7" s="17"/>
      <c r="F7" s="114" t="s">
        <v>16</v>
      </c>
      <c r="G7" s="114"/>
      <c r="H7" s="117" t="s">
        <v>28</v>
      </c>
      <c r="I7" s="118"/>
      <c r="J7" s="119"/>
      <c r="K7" s="18"/>
    </row>
    <row r="8" spans="1:16" s="14" customFormat="1" ht="15.75" customHeight="1">
      <c r="A8" s="11"/>
      <c r="C8" s="19"/>
      <c r="D8" s="20"/>
      <c r="E8" s="12"/>
      <c r="F8" s="114" t="s">
        <v>15</v>
      </c>
      <c r="G8" s="114"/>
      <c r="H8" s="118" t="s">
        <v>11</v>
      </c>
      <c r="I8" s="118"/>
      <c r="J8" s="119"/>
      <c r="K8" s="18"/>
    </row>
    <row r="9" spans="1:16" s="14" customFormat="1" ht="20" customHeight="1">
      <c r="A9" s="11"/>
      <c r="B9" s="12"/>
      <c r="C9" s="19"/>
      <c r="D9" s="20"/>
      <c r="E9" s="12"/>
      <c r="F9" s="21"/>
      <c r="G9" s="19"/>
      <c r="H9" s="22"/>
      <c r="I9" s="22"/>
      <c r="J9" s="22"/>
      <c r="K9" s="18"/>
    </row>
    <row r="10" spans="1:16" s="14" customFormat="1" ht="22.05" customHeight="1" thickBot="1">
      <c r="A10" s="11"/>
      <c r="B10" s="106"/>
      <c r="C10" s="106"/>
      <c r="D10" s="106"/>
      <c r="E10" s="24"/>
      <c r="F10" s="24"/>
      <c r="G10" s="25" t="s">
        <v>1</v>
      </c>
      <c r="H10" s="107">
        <f>H33</f>
        <v>19800000</v>
      </c>
      <c r="I10" s="107"/>
      <c r="J10" s="26" t="s">
        <v>2</v>
      </c>
      <c r="K10" s="18"/>
    </row>
    <row r="11" spans="1:16" s="14" customFormat="1" ht="22.05" customHeight="1">
      <c r="A11" s="11"/>
      <c r="B11" s="23"/>
      <c r="C11" s="23"/>
      <c r="D11" s="23"/>
      <c r="E11" s="24"/>
      <c r="F11" s="24"/>
      <c r="G11" s="24"/>
      <c r="H11" s="27"/>
      <c r="I11" s="27"/>
      <c r="J11" s="28"/>
      <c r="K11" s="18"/>
    </row>
    <row r="12" spans="1:16" s="14" customFormat="1" ht="22.05" customHeight="1">
      <c r="A12" s="11"/>
      <c r="B12" s="108" t="s">
        <v>61</v>
      </c>
      <c r="C12" s="108"/>
      <c r="D12" s="108"/>
      <c r="E12" s="108"/>
      <c r="F12" s="108"/>
      <c r="G12" s="108"/>
      <c r="H12" s="108"/>
      <c r="I12" s="108"/>
      <c r="J12" s="108"/>
      <c r="K12" s="18"/>
    </row>
    <row r="13" spans="1:16" s="14" customFormat="1" ht="22.05" customHeight="1">
      <c r="A13" s="11"/>
      <c r="B13" s="109"/>
      <c r="C13" s="109"/>
      <c r="D13" s="109"/>
      <c r="E13" s="109"/>
      <c r="F13" s="109"/>
      <c r="G13" s="109"/>
      <c r="H13" s="109"/>
      <c r="I13" s="29"/>
      <c r="J13" s="30"/>
      <c r="K13" s="31"/>
    </row>
    <row r="14" spans="1:16" s="14" customFormat="1" ht="17.25" customHeight="1">
      <c r="A14" s="110" t="s">
        <v>3</v>
      </c>
      <c r="B14" s="110"/>
      <c r="C14" s="110"/>
      <c r="D14" s="110"/>
      <c r="E14" s="32" t="s">
        <v>4</v>
      </c>
      <c r="F14" s="57" t="s">
        <v>26</v>
      </c>
      <c r="G14" s="57" t="s">
        <v>27</v>
      </c>
      <c r="H14" s="111" t="s">
        <v>21</v>
      </c>
      <c r="I14" s="111"/>
      <c r="J14" s="111" t="s">
        <v>0</v>
      </c>
      <c r="K14" s="111"/>
    </row>
    <row r="15" spans="1:16" s="14" customFormat="1" ht="17.25" customHeight="1">
      <c r="A15" s="99" t="s">
        <v>45</v>
      </c>
      <c r="B15" s="100"/>
      <c r="C15" s="100"/>
      <c r="D15" s="101"/>
      <c r="E15" s="33"/>
      <c r="F15" s="34"/>
      <c r="G15" s="35"/>
      <c r="H15" s="102">
        <f>SUM(H16:I19)</f>
        <v>8000000</v>
      </c>
      <c r="I15" s="102"/>
      <c r="J15" s="103"/>
      <c r="K15" s="104"/>
    </row>
    <row r="16" spans="1:16" s="14" customFormat="1" ht="17.25" customHeight="1">
      <c r="A16" s="105" t="s">
        <v>46</v>
      </c>
      <c r="B16" s="96"/>
      <c r="C16" s="96"/>
      <c r="D16" s="97"/>
      <c r="E16" s="33">
        <v>500000</v>
      </c>
      <c r="F16" s="34">
        <v>1</v>
      </c>
      <c r="G16" s="58">
        <v>1</v>
      </c>
      <c r="H16" s="98">
        <f>E16</f>
        <v>500000</v>
      </c>
      <c r="I16" s="98"/>
      <c r="J16" s="36"/>
      <c r="K16" s="37"/>
    </row>
    <row r="17" spans="1:21" s="14" customFormat="1" ht="17.25" customHeight="1">
      <c r="A17" s="105" t="s">
        <v>47</v>
      </c>
      <c r="B17" s="96"/>
      <c r="C17" s="96"/>
      <c r="D17" s="97"/>
      <c r="E17" s="33">
        <v>500000</v>
      </c>
      <c r="F17" s="34">
        <v>1</v>
      </c>
      <c r="G17" s="58">
        <v>1</v>
      </c>
      <c r="H17" s="98">
        <f>E17*F17*G17</f>
        <v>500000</v>
      </c>
      <c r="I17" s="98"/>
      <c r="J17" s="36"/>
      <c r="K17" s="37"/>
    </row>
    <row r="18" spans="1:21" s="14" customFormat="1" ht="17.25" customHeight="1">
      <c r="A18" s="95" t="s">
        <v>48</v>
      </c>
      <c r="B18" s="96"/>
      <c r="C18" s="96"/>
      <c r="D18" s="97"/>
      <c r="E18" s="33">
        <v>200000</v>
      </c>
      <c r="F18" s="34">
        <v>1</v>
      </c>
      <c r="G18" s="58">
        <v>20</v>
      </c>
      <c r="H18" s="98">
        <f>E18*F18*G18</f>
        <v>4000000</v>
      </c>
      <c r="I18" s="98"/>
      <c r="J18" s="36"/>
      <c r="K18" s="37"/>
    </row>
    <row r="19" spans="1:21" s="14" customFormat="1" ht="27" customHeight="1">
      <c r="A19" s="95" t="s">
        <v>49</v>
      </c>
      <c r="B19" s="96"/>
      <c r="C19" s="96"/>
      <c r="D19" s="97"/>
      <c r="E19" s="33">
        <v>1000000</v>
      </c>
      <c r="F19" s="34">
        <v>3</v>
      </c>
      <c r="G19" s="58">
        <v>1</v>
      </c>
      <c r="H19" s="98">
        <f>E19*F19*G19</f>
        <v>3000000</v>
      </c>
      <c r="I19" s="98"/>
      <c r="J19" s="36"/>
      <c r="K19" s="37"/>
    </row>
    <row r="20" spans="1:21" s="14" customFormat="1" ht="17.25" customHeight="1">
      <c r="A20" s="99" t="s">
        <v>50</v>
      </c>
      <c r="B20" s="100"/>
      <c r="C20" s="100"/>
      <c r="D20" s="101"/>
      <c r="E20" s="33"/>
      <c r="F20" s="34"/>
      <c r="G20" s="58"/>
      <c r="H20" s="102">
        <f>SUM(H21:I23)</f>
        <v>2200000</v>
      </c>
      <c r="I20" s="102"/>
      <c r="J20" s="103"/>
      <c r="K20" s="104"/>
    </row>
    <row r="21" spans="1:21" s="14" customFormat="1" ht="17.25" customHeight="1">
      <c r="A21" s="105" t="s">
        <v>51</v>
      </c>
      <c r="B21" s="96"/>
      <c r="C21" s="96"/>
      <c r="D21" s="97"/>
      <c r="E21" s="33">
        <v>500000</v>
      </c>
      <c r="F21" s="34">
        <v>1</v>
      </c>
      <c r="G21" s="58">
        <v>1</v>
      </c>
      <c r="H21" s="98">
        <f>E21</f>
        <v>500000</v>
      </c>
      <c r="I21" s="98"/>
      <c r="J21" s="36"/>
      <c r="K21" s="37"/>
    </row>
    <row r="22" spans="1:21" s="14" customFormat="1" ht="30.4" customHeight="1">
      <c r="A22" s="95" t="s">
        <v>52</v>
      </c>
      <c r="B22" s="96"/>
      <c r="C22" s="96"/>
      <c r="D22" s="97"/>
      <c r="E22" s="33">
        <v>1500000</v>
      </c>
      <c r="F22" s="34">
        <v>1</v>
      </c>
      <c r="G22" s="58">
        <v>1</v>
      </c>
      <c r="H22" s="98">
        <f t="shared" ref="H22" si="0">E22</f>
        <v>1500000</v>
      </c>
      <c r="I22" s="98"/>
      <c r="J22" s="36"/>
      <c r="K22" s="37"/>
    </row>
    <row r="23" spans="1:21" s="14" customFormat="1" ht="17.25" customHeight="1">
      <c r="A23" s="105" t="s">
        <v>53</v>
      </c>
      <c r="B23" s="96"/>
      <c r="C23" s="96"/>
      <c r="D23" s="97"/>
      <c r="E23" s="33">
        <v>200000</v>
      </c>
      <c r="F23" s="34">
        <v>1</v>
      </c>
      <c r="G23" s="58">
        <v>1</v>
      </c>
      <c r="H23" s="98">
        <f>E23*F23*G23</f>
        <v>200000</v>
      </c>
      <c r="I23" s="98"/>
      <c r="J23" s="36"/>
      <c r="K23" s="37"/>
    </row>
    <row r="24" spans="1:21" s="14" customFormat="1" ht="17.25" customHeight="1">
      <c r="A24" s="99" t="s">
        <v>54</v>
      </c>
      <c r="B24" s="100"/>
      <c r="C24" s="100"/>
      <c r="D24" s="101"/>
      <c r="E24" s="33"/>
      <c r="F24" s="34"/>
      <c r="G24" s="58"/>
      <c r="H24" s="102">
        <f>SUM(H25:I27)</f>
        <v>3000000</v>
      </c>
      <c r="I24" s="102"/>
      <c r="J24" s="103"/>
      <c r="K24" s="104"/>
    </row>
    <row r="25" spans="1:21" s="14" customFormat="1" ht="17.25" customHeight="1">
      <c r="A25" s="105" t="s">
        <v>55</v>
      </c>
      <c r="B25" s="96"/>
      <c r="C25" s="96"/>
      <c r="D25" s="97"/>
      <c r="E25" s="33">
        <v>500000</v>
      </c>
      <c r="F25" s="34">
        <v>1</v>
      </c>
      <c r="G25" s="58">
        <v>1</v>
      </c>
      <c r="H25" s="98">
        <f>E25</f>
        <v>500000</v>
      </c>
      <c r="I25" s="98"/>
      <c r="J25" s="36"/>
      <c r="K25" s="37"/>
    </row>
    <row r="26" spans="1:21" s="14" customFormat="1" ht="30.4" customHeight="1">
      <c r="A26" s="95" t="s">
        <v>56</v>
      </c>
      <c r="B26" s="96"/>
      <c r="C26" s="96"/>
      <c r="D26" s="97"/>
      <c r="E26" s="33">
        <v>500000</v>
      </c>
      <c r="F26" s="34">
        <v>1</v>
      </c>
      <c r="G26" s="58">
        <v>1</v>
      </c>
      <c r="H26" s="98">
        <f t="shared" ref="H26" si="1">E26</f>
        <v>500000</v>
      </c>
      <c r="I26" s="98"/>
      <c r="J26" s="36"/>
      <c r="K26" s="37"/>
    </row>
    <row r="27" spans="1:21" s="14" customFormat="1" ht="17.25" customHeight="1">
      <c r="A27" s="105" t="s">
        <v>57</v>
      </c>
      <c r="B27" s="96"/>
      <c r="C27" s="96"/>
      <c r="D27" s="97"/>
      <c r="E27" s="33">
        <v>2000000</v>
      </c>
      <c r="F27" s="34">
        <v>1</v>
      </c>
      <c r="G27" s="58">
        <v>1</v>
      </c>
      <c r="H27" s="98">
        <f>E27*F27*G27</f>
        <v>2000000</v>
      </c>
      <c r="I27" s="98"/>
      <c r="J27" s="36"/>
      <c r="K27" s="37"/>
    </row>
    <row r="28" spans="1:21" s="14" customFormat="1" ht="17.25" customHeight="1">
      <c r="A28" s="99" t="s">
        <v>58</v>
      </c>
      <c r="B28" s="100"/>
      <c r="C28" s="100"/>
      <c r="D28" s="101"/>
      <c r="E28" s="33"/>
      <c r="F28" s="34"/>
      <c r="G28" s="58"/>
      <c r="H28" s="102">
        <f>SUM(H29:I30)</f>
        <v>4800000</v>
      </c>
      <c r="I28" s="102"/>
      <c r="J28" s="103"/>
      <c r="K28" s="104"/>
    </row>
    <row r="29" spans="1:21" s="14" customFormat="1" ht="17.25" customHeight="1">
      <c r="A29" s="105" t="s">
        <v>59</v>
      </c>
      <c r="B29" s="96"/>
      <c r="C29" s="96"/>
      <c r="D29" s="97"/>
      <c r="E29" s="33">
        <v>200000</v>
      </c>
      <c r="F29" s="34">
        <v>3</v>
      </c>
      <c r="G29" s="58">
        <v>4</v>
      </c>
      <c r="H29" s="98">
        <f>E29*F29*G29</f>
        <v>2400000</v>
      </c>
      <c r="I29" s="98"/>
      <c r="J29" s="36"/>
      <c r="K29" s="37"/>
    </row>
    <row r="30" spans="1:21" s="14" customFormat="1" ht="30.4" customHeight="1">
      <c r="A30" s="95" t="s">
        <v>60</v>
      </c>
      <c r="B30" s="96"/>
      <c r="C30" s="96"/>
      <c r="D30" s="97"/>
      <c r="E30" s="33">
        <v>200000</v>
      </c>
      <c r="F30" s="34">
        <v>3</v>
      </c>
      <c r="G30" s="58">
        <v>4</v>
      </c>
      <c r="H30" s="98">
        <f>E30*F30*G30</f>
        <v>2400000</v>
      </c>
      <c r="I30" s="98"/>
      <c r="J30" s="36"/>
      <c r="K30" s="37"/>
    </row>
    <row r="31" spans="1:21" s="14" customFormat="1" ht="17.25" customHeight="1">
      <c r="A31" s="86" t="s">
        <v>25</v>
      </c>
      <c r="B31" s="86"/>
      <c r="C31" s="86"/>
      <c r="D31" s="86"/>
      <c r="E31" s="86"/>
      <c r="F31" s="86"/>
      <c r="G31" s="86"/>
      <c r="H31" s="87">
        <f>H15+H28+H20+H24</f>
        <v>18000000</v>
      </c>
      <c r="I31" s="87"/>
      <c r="J31" s="88"/>
      <c r="K31" s="89"/>
      <c r="L31" s="15"/>
      <c r="U31" s="38"/>
    </row>
    <row r="32" spans="1:21" s="14" customFormat="1" ht="17.25" customHeight="1">
      <c r="A32" s="90" t="s">
        <v>22</v>
      </c>
      <c r="B32" s="91"/>
      <c r="C32" s="91"/>
      <c r="D32" s="91"/>
      <c r="E32" s="91"/>
      <c r="F32" s="91"/>
      <c r="G32" s="92"/>
      <c r="H32" s="93">
        <f>H31*0.1</f>
        <v>1800000</v>
      </c>
      <c r="I32" s="94"/>
      <c r="J32" s="39"/>
      <c r="K32" s="40"/>
      <c r="L32" s="15"/>
      <c r="P32" s="41"/>
    </row>
    <row r="33" spans="1:11" s="14" customFormat="1" ht="22.05" customHeight="1">
      <c r="A33" s="72" t="s">
        <v>5</v>
      </c>
      <c r="B33" s="73"/>
      <c r="C33" s="73"/>
      <c r="D33" s="73"/>
      <c r="E33" s="73"/>
      <c r="F33" s="73"/>
      <c r="G33" s="73"/>
      <c r="H33" s="74">
        <f>SUM(H32,H31)</f>
        <v>19800000</v>
      </c>
      <c r="I33" s="75"/>
      <c r="J33" s="42"/>
      <c r="K33" s="43"/>
    </row>
    <row r="34" spans="1:11" s="14" customFormat="1" ht="22.05" customHeight="1">
      <c r="A34" s="76" t="s">
        <v>6</v>
      </c>
      <c r="B34" s="77"/>
      <c r="C34" s="78"/>
      <c r="D34" s="1" t="s">
        <v>29</v>
      </c>
      <c r="E34" s="44"/>
      <c r="F34" s="45"/>
      <c r="G34" s="45"/>
      <c r="H34" s="46"/>
      <c r="I34" s="46"/>
      <c r="J34" s="46"/>
      <c r="K34" s="47"/>
    </row>
    <row r="35" spans="1:11" s="14" customFormat="1" ht="22.05" customHeight="1">
      <c r="A35" s="79"/>
      <c r="B35" s="80"/>
      <c r="C35" s="81"/>
      <c r="D35" s="1" t="s">
        <v>12</v>
      </c>
      <c r="E35" s="44"/>
      <c r="F35" s="45"/>
      <c r="G35" s="45"/>
      <c r="H35" s="44"/>
      <c r="I35" s="44"/>
      <c r="J35" s="44"/>
      <c r="K35" s="18"/>
    </row>
    <row r="36" spans="1:11" s="14" customFormat="1" ht="22.05" customHeight="1">
      <c r="A36" s="82"/>
      <c r="B36" s="83"/>
      <c r="C36" s="84"/>
      <c r="D36" s="2" t="s">
        <v>13</v>
      </c>
      <c r="E36" s="50"/>
      <c r="F36" s="50"/>
      <c r="G36" s="50"/>
      <c r="H36" s="50"/>
      <c r="I36" s="50"/>
      <c r="J36" s="50"/>
      <c r="K36" s="31"/>
    </row>
    <row r="37" spans="1:11" s="14" customFormat="1" ht="30.75" customHeight="1">
      <c r="A37" s="11"/>
      <c r="B37" s="48"/>
      <c r="C37" s="48"/>
      <c r="D37" s="51"/>
      <c r="E37" s="44"/>
      <c r="F37" s="45"/>
      <c r="G37" s="45"/>
      <c r="H37" s="44"/>
      <c r="I37" s="44"/>
      <c r="J37" s="44"/>
      <c r="K37" s="18"/>
    </row>
    <row r="38" spans="1:11" s="14" customFormat="1" ht="28.05" customHeight="1">
      <c r="A38" s="11"/>
      <c r="B38" s="48"/>
      <c r="C38" s="48"/>
      <c r="E38" s="85" t="s">
        <v>9</v>
      </c>
      <c r="F38" s="85"/>
      <c r="G38" s="85"/>
      <c r="H38" s="52" t="s">
        <v>23</v>
      </c>
      <c r="I38" s="52"/>
      <c r="J38" s="52"/>
      <c r="K38" s="18"/>
    </row>
    <row r="39" spans="1:11" s="14" customFormat="1" ht="30.75" customHeight="1">
      <c r="A39" s="53"/>
      <c r="B39" s="49"/>
      <c r="C39" s="49"/>
      <c r="D39" s="54"/>
      <c r="E39" s="54"/>
      <c r="F39" s="55"/>
      <c r="G39" s="55"/>
      <c r="H39" s="54"/>
      <c r="I39" s="54"/>
      <c r="J39" s="54"/>
      <c r="K39" s="31"/>
    </row>
    <row r="40" spans="1:11" s="14" customFormat="1" ht="20" customHeight="1"/>
    <row r="41" spans="1:11" s="14" customFormat="1" ht="20" customHeight="1"/>
    <row r="42" spans="1:11" s="14" customFormat="1" ht="20" customHeight="1"/>
    <row r="43" spans="1:11" s="14" customFormat="1" ht="25.5" customHeight="1"/>
    <row r="44" spans="1:11" s="14" customFormat="1" ht="27.75" customHeight="1"/>
    <row r="45" spans="1:11" s="14" customFormat="1" ht="15.75">
      <c r="E45" s="56"/>
      <c r="H45" s="15"/>
      <c r="I45" s="15"/>
      <c r="J45" s="15"/>
    </row>
    <row r="46" spans="1:11" s="14" customFormat="1" ht="15.75">
      <c r="E46" s="56"/>
      <c r="H46" s="15"/>
      <c r="I46" s="15"/>
      <c r="J46" s="15"/>
    </row>
    <row r="47" spans="1:11" s="14" customFormat="1" ht="15.75">
      <c r="E47" s="56"/>
      <c r="H47" s="15"/>
      <c r="I47" s="15"/>
      <c r="J47" s="15"/>
    </row>
    <row r="48" spans="1:11" s="14" customFormat="1" ht="15.75">
      <c r="E48" s="56"/>
      <c r="H48" s="15"/>
      <c r="I48" s="15"/>
      <c r="J48" s="15"/>
    </row>
    <row r="49" spans="5:10" s="14" customFormat="1" ht="15.75">
      <c r="E49" s="56"/>
      <c r="H49" s="15"/>
      <c r="I49" s="15"/>
      <c r="J49" s="15"/>
    </row>
    <row r="50" spans="5:10" s="14" customFormat="1" ht="15.75">
      <c r="E50" s="56"/>
      <c r="H50" s="15"/>
      <c r="I50" s="15"/>
      <c r="J50" s="15"/>
    </row>
    <row r="51" spans="5:10" s="14" customFormat="1" ht="15.75">
      <c r="E51" s="56"/>
      <c r="H51" s="15"/>
      <c r="I51" s="15"/>
      <c r="J51" s="15"/>
    </row>
    <row r="52" spans="5:10" s="14" customFormat="1" ht="15.75">
      <c r="E52" s="56"/>
      <c r="H52" s="15"/>
      <c r="I52" s="15"/>
      <c r="J52" s="15"/>
    </row>
    <row r="53" spans="5:10" s="14" customFormat="1" ht="15.75">
      <c r="E53" s="56"/>
      <c r="H53" s="15"/>
      <c r="I53" s="15"/>
      <c r="J53" s="15"/>
    </row>
    <row r="54" spans="5:10" s="14" customFormat="1" ht="15.75">
      <c r="E54" s="56"/>
      <c r="H54" s="15"/>
      <c r="I54" s="15"/>
      <c r="J54" s="15"/>
    </row>
    <row r="55" spans="5:10" s="14" customFormat="1" ht="15.75">
      <c r="E55" s="56"/>
      <c r="H55" s="15"/>
      <c r="I55" s="15"/>
      <c r="J55" s="15"/>
    </row>
    <row r="56" spans="5:10" s="14" customFormat="1" ht="15.75">
      <c r="E56" s="56"/>
      <c r="H56" s="15"/>
      <c r="I56" s="15"/>
      <c r="J56" s="15"/>
    </row>
    <row r="57" spans="5:10" s="14" customFormat="1" ht="15.75">
      <c r="E57" s="56"/>
      <c r="H57" s="15"/>
      <c r="I57" s="15"/>
      <c r="J57" s="15"/>
    </row>
    <row r="58" spans="5:10" s="14" customFormat="1" ht="15.75">
      <c r="E58" s="56"/>
      <c r="H58" s="15"/>
      <c r="I58" s="15"/>
      <c r="J58" s="15"/>
    </row>
    <row r="59" spans="5:10" s="14" customFormat="1" ht="15.75">
      <c r="E59" s="56"/>
      <c r="H59" s="15"/>
      <c r="I59" s="15"/>
      <c r="J59" s="15"/>
    </row>
    <row r="60" spans="5:10" s="14" customFormat="1" ht="15.75">
      <c r="E60" s="56"/>
      <c r="H60" s="15"/>
      <c r="I60" s="15"/>
      <c r="J60" s="15"/>
    </row>
    <row r="61" spans="5:10" s="14" customFormat="1" ht="15.75">
      <c r="E61" s="56"/>
      <c r="H61" s="15"/>
      <c r="I61" s="15"/>
      <c r="J61" s="15"/>
    </row>
    <row r="62" spans="5:10" s="14" customFormat="1" ht="15.75">
      <c r="E62" s="56"/>
      <c r="H62" s="15"/>
      <c r="I62" s="15"/>
      <c r="J62" s="15"/>
    </row>
    <row r="63" spans="5:10" s="14" customFormat="1" ht="15.75">
      <c r="E63" s="56"/>
      <c r="H63" s="15"/>
      <c r="I63" s="15"/>
      <c r="J63" s="15"/>
    </row>
    <row r="64" spans="5:10" s="14" customFormat="1" ht="15.75">
      <c r="E64" s="56"/>
      <c r="H64" s="15"/>
      <c r="I64" s="15"/>
      <c r="J64" s="15"/>
    </row>
    <row r="65" spans="5:10" s="14" customFormat="1" ht="15.75">
      <c r="E65" s="56"/>
      <c r="H65" s="15"/>
      <c r="I65" s="15"/>
      <c r="J65" s="15"/>
    </row>
    <row r="66" spans="5:10" s="14" customFormat="1" ht="15.75">
      <c r="E66" s="56"/>
      <c r="H66" s="15"/>
      <c r="I66" s="15"/>
      <c r="J66" s="15"/>
    </row>
    <row r="67" spans="5:10" s="14" customFormat="1" ht="15.75">
      <c r="E67" s="56"/>
      <c r="H67" s="15"/>
      <c r="I67" s="15"/>
      <c r="J67" s="15"/>
    </row>
    <row r="68" spans="5:10" s="14" customFormat="1" ht="15.75">
      <c r="E68" s="56"/>
      <c r="H68" s="15"/>
      <c r="I68" s="15"/>
      <c r="J68" s="15"/>
    </row>
    <row r="69" spans="5:10" s="14" customFormat="1" ht="15.75">
      <c r="E69" s="56"/>
      <c r="H69" s="15"/>
      <c r="I69" s="15"/>
      <c r="J69" s="15"/>
    </row>
    <row r="70" spans="5:10" s="14" customFormat="1" ht="15.75">
      <c r="E70" s="56"/>
      <c r="H70" s="15"/>
      <c r="I70" s="15"/>
      <c r="J70" s="15"/>
    </row>
    <row r="71" spans="5:10" s="14" customFormat="1" ht="15.75">
      <c r="E71" s="56"/>
      <c r="H71" s="15"/>
      <c r="I71" s="15"/>
      <c r="J71" s="15"/>
    </row>
    <row r="72" spans="5:10" s="14" customFormat="1" ht="15.75">
      <c r="E72" s="56"/>
      <c r="H72" s="15"/>
      <c r="I72" s="15"/>
      <c r="J72" s="15"/>
    </row>
    <row r="73" spans="5:10" s="14" customFormat="1" ht="15.75">
      <c r="E73" s="56"/>
      <c r="H73" s="15"/>
      <c r="I73" s="15"/>
      <c r="J73" s="15"/>
    </row>
    <row r="74" spans="5:10" s="14" customFormat="1" ht="15.75">
      <c r="E74" s="56"/>
      <c r="H74" s="15"/>
      <c r="I74" s="15"/>
      <c r="J74" s="15"/>
    </row>
    <row r="75" spans="5:10" s="14" customFormat="1" ht="15.75">
      <c r="E75" s="56"/>
      <c r="H75" s="15"/>
      <c r="I75" s="15"/>
      <c r="J75" s="15"/>
    </row>
    <row r="76" spans="5:10" s="14" customFormat="1" ht="15.75">
      <c r="E76" s="56"/>
      <c r="H76" s="15"/>
      <c r="I76" s="15"/>
      <c r="J76" s="15"/>
    </row>
    <row r="77" spans="5:10" s="14" customFormat="1" ht="15.75">
      <c r="E77" s="56"/>
      <c r="H77" s="15"/>
      <c r="I77" s="15"/>
      <c r="J77" s="15"/>
    </row>
    <row r="78" spans="5:10" s="14" customFormat="1" ht="15.75">
      <c r="E78" s="56"/>
      <c r="H78" s="15"/>
      <c r="I78" s="15"/>
      <c r="J78" s="15"/>
    </row>
    <row r="79" spans="5:10" s="14" customFormat="1" ht="15.75">
      <c r="E79" s="56"/>
      <c r="H79" s="15"/>
      <c r="I79" s="15"/>
      <c r="J79" s="15"/>
    </row>
    <row r="80" spans="5:10" s="14" customFormat="1" ht="15.75">
      <c r="E80" s="56"/>
      <c r="H80" s="15"/>
      <c r="I80" s="15"/>
      <c r="J80" s="15"/>
    </row>
    <row r="81" spans="5:10" s="14" customFormat="1" ht="15.75">
      <c r="E81" s="56"/>
      <c r="H81" s="15"/>
      <c r="I81" s="15"/>
      <c r="J81" s="15"/>
    </row>
    <row r="82" spans="5:10" s="14" customFormat="1" ht="15.75">
      <c r="E82" s="56"/>
      <c r="H82" s="15"/>
      <c r="I82" s="15"/>
      <c r="J82" s="15"/>
    </row>
    <row r="83" spans="5:10" s="14" customFormat="1" ht="15.75">
      <c r="E83" s="56"/>
      <c r="H83" s="15"/>
      <c r="I83" s="15"/>
      <c r="J83" s="15"/>
    </row>
    <row r="84" spans="5:10" s="14" customFormat="1" ht="15.75">
      <c r="E84" s="56"/>
      <c r="H84" s="15"/>
      <c r="I84" s="15"/>
      <c r="J84" s="15"/>
    </row>
    <row r="85" spans="5:10" s="14" customFormat="1" ht="15.75">
      <c r="E85" s="56"/>
      <c r="H85" s="15"/>
      <c r="I85" s="15"/>
      <c r="J85" s="15"/>
    </row>
    <row r="86" spans="5:10" s="14" customFormat="1" ht="15.75">
      <c r="E86" s="56"/>
      <c r="H86" s="15"/>
      <c r="I86" s="15"/>
      <c r="J86" s="15"/>
    </row>
    <row r="87" spans="5:10" s="14" customFormat="1" ht="15.75">
      <c r="E87" s="56"/>
      <c r="H87" s="15"/>
      <c r="I87" s="15"/>
      <c r="J87" s="15"/>
    </row>
    <row r="88" spans="5:10" s="14" customFormat="1" ht="15.75">
      <c r="E88" s="56"/>
      <c r="H88" s="15"/>
      <c r="I88" s="15"/>
      <c r="J88" s="15"/>
    </row>
    <row r="89" spans="5:10" s="14" customFormat="1" ht="15.75">
      <c r="E89" s="56"/>
      <c r="H89" s="15"/>
      <c r="I89" s="15"/>
      <c r="J89" s="15"/>
    </row>
    <row r="90" spans="5:10" s="14" customFormat="1" ht="15.75">
      <c r="E90" s="56"/>
      <c r="H90" s="15"/>
      <c r="I90" s="15"/>
      <c r="J90" s="15"/>
    </row>
    <row r="91" spans="5:10" s="14" customFormat="1" ht="15.75">
      <c r="E91" s="56"/>
      <c r="H91" s="15"/>
      <c r="I91" s="15"/>
      <c r="J91" s="15"/>
    </row>
    <row r="92" spans="5:10" s="14" customFormat="1" ht="15.75">
      <c r="E92" s="56"/>
      <c r="H92" s="15"/>
      <c r="I92" s="15"/>
      <c r="J92" s="15"/>
    </row>
    <row r="93" spans="5:10" s="14" customFormat="1" ht="15.75">
      <c r="E93" s="56"/>
      <c r="H93" s="15"/>
      <c r="I93" s="15"/>
      <c r="J93" s="15"/>
    </row>
    <row r="94" spans="5:10" s="14" customFormat="1" ht="15.75">
      <c r="E94" s="56"/>
      <c r="H94" s="15"/>
      <c r="I94" s="15"/>
      <c r="J94" s="15"/>
    </row>
    <row r="95" spans="5:10" s="14" customFormat="1" ht="15.75">
      <c r="E95" s="56"/>
      <c r="H95" s="15"/>
      <c r="I95" s="15"/>
      <c r="J95" s="15"/>
    </row>
    <row r="96" spans="5:10" s="14" customFormat="1" ht="15.75">
      <c r="E96" s="56"/>
      <c r="H96" s="15"/>
      <c r="I96" s="15"/>
      <c r="J96" s="15"/>
    </row>
    <row r="97" spans="5:10" s="14" customFormat="1" ht="15.75">
      <c r="E97" s="56"/>
      <c r="H97" s="15"/>
      <c r="I97" s="15"/>
      <c r="J97" s="15"/>
    </row>
    <row r="98" spans="5:10" s="14" customFormat="1" ht="15.75">
      <c r="E98" s="56"/>
      <c r="H98" s="15"/>
      <c r="I98" s="15"/>
      <c r="J98" s="15"/>
    </row>
    <row r="99" spans="5:10" s="14" customFormat="1" ht="15.75">
      <c r="E99" s="56"/>
      <c r="H99" s="15"/>
      <c r="I99" s="15"/>
      <c r="J99" s="15"/>
    </row>
    <row r="100" spans="5:10" s="14" customFormat="1" ht="15.75">
      <c r="E100" s="56"/>
      <c r="H100" s="15"/>
      <c r="I100" s="15"/>
      <c r="J100" s="15"/>
    </row>
    <row r="101" spans="5:10" s="14" customFormat="1" ht="15.75">
      <c r="E101" s="56"/>
      <c r="H101" s="15"/>
      <c r="I101" s="15"/>
      <c r="J101" s="15"/>
    </row>
    <row r="102" spans="5:10" s="14" customFormat="1" ht="15.75">
      <c r="H102" s="15"/>
      <c r="I102" s="15"/>
      <c r="J102" s="15"/>
    </row>
    <row r="103" spans="5:10" s="14" customFormat="1" ht="15.75">
      <c r="H103" s="15"/>
      <c r="I103" s="15"/>
      <c r="J103" s="15"/>
    </row>
    <row r="104" spans="5:10" s="14" customFormat="1" ht="15.75">
      <c r="H104" s="15"/>
      <c r="I104" s="15"/>
      <c r="J104" s="15"/>
    </row>
    <row r="105" spans="5:10" s="14" customFormat="1" ht="15.75">
      <c r="H105" s="15"/>
      <c r="I105" s="15"/>
      <c r="J105" s="15"/>
    </row>
    <row r="106" spans="5:10" s="14" customFormat="1" ht="15.75">
      <c r="H106" s="15"/>
      <c r="I106" s="15"/>
      <c r="J106" s="15"/>
    </row>
    <row r="107" spans="5:10" s="14" customFormat="1" ht="15.75">
      <c r="H107" s="15"/>
      <c r="I107" s="15"/>
      <c r="J107" s="15"/>
    </row>
    <row r="108" spans="5:10" s="14" customFormat="1" ht="15.75">
      <c r="H108" s="15"/>
      <c r="I108" s="15"/>
      <c r="J108" s="15"/>
    </row>
    <row r="109" spans="5:10" s="14" customFormat="1" ht="15.75">
      <c r="H109" s="15"/>
      <c r="I109" s="15"/>
      <c r="J109" s="15"/>
    </row>
    <row r="110" spans="5:10" s="14" customFormat="1" ht="15.75">
      <c r="H110" s="15"/>
      <c r="I110" s="15"/>
      <c r="J110" s="15"/>
    </row>
    <row r="111" spans="5:10" s="14" customFormat="1" ht="15.75">
      <c r="H111" s="15"/>
      <c r="I111" s="15"/>
      <c r="J111" s="15"/>
    </row>
    <row r="112" spans="5:10" s="14" customFormat="1" ht="15.75">
      <c r="H112" s="15"/>
      <c r="I112" s="15"/>
      <c r="J112" s="15"/>
    </row>
    <row r="113" spans="8:10" s="14" customFormat="1" ht="15.75">
      <c r="H113" s="15"/>
      <c r="I113" s="15"/>
      <c r="J113" s="15"/>
    </row>
    <row r="114" spans="8:10" s="14" customFormat="1" ht="15.75">
      <c r="H114" s="15"/>
      <c r="I114" s="15"/>
      <c r="J114" s="15"/>
    </row>
    <row r="115" spans="8:10" s="14" customFormat="1" ht="15.75">
      <c r="H115" s="15"/>
      <c r="I115" s="15"/>
      <c r="J115" s="15"/>
    </row>
    <row r="116" spans="8:10" s="14" customFormat="1" ht="15.75">
      <c r="H116" s="15"/>
      <c r="I116" s="15"/>
      <c r="J116" s="15"/>
    </row>
    <row r="117" spans="8:10" s="14" customFormat="1" ht="15.75">
      <c r="H117" s="15"/>
      <c r="I117" s="15"/>
      <c r="J117" s="15"/>
    </row>
    <row r="118" spans="8:10" s="14" customFormat="1" ht="15.75"/>
    <row r="119" spans="8:10" s="14" customFormat="1" ht="15.75"/>
    <row r="120" spans="8:10" s="14" customFormat="1" ht="15.75"/>
    <row r="121" spans="8:10" s="14" customFormat="1" ht="15.75"/>
    <row r="122" spans="8:10" s="14" customFormat="1" ht="15.75"/>
    <row r="123" spans="8:10" s="14" customFormat="1" ht="15.75"/>
    <row r="124" spans="8:10" s="14" customFormat="1" ht="15.75"/>
    <row r="125" spans="8:10" s="14" customFormat="1" ht="15.75"/>
    <row r="126" spans="8:10" s="14" customFormat="1" ht="15.75"/>
    <row r="127" spans="8:10" s="14" customFormat="1" ht="15.75"/>
    <row r="128" spans="8:10" s="14" customFormat="1" ht="15.75"/>
    <row r="129" s="14" customFormat="1" ht="15.75"/>
    <row r="130" s="14" customFormat="1" ht="15.75"/>
    <row r="131" s="14" customFormat="1" ht="15.75"/>
    <row r="132" s="14" customFormat="1" ht="15.75"/>
    <row r="133" s="14" customFormat="1" ht="15.75"/>
    <row r="134" s="14" customFormat="1" ht="15.75"/>
    <row r="135" s="14" customFormat="1" ht="15.75"/>
    <row r="136" s="14" customFormat="1" ht="15.75"/>
    <row r="137" s="14" customFormat="1" ht="15.75"/>
    <row r="138" s="14" customFormat="1" ht="15.75"/>
    <row r="139" s="14" customFormat="1" ht="15.75"/>
    <row r="140" s="14" customFormat="1" ht="15.75"/>
    <row r="141" s="14" customFormat="1" ht="15.75"/>
    <row r="142" s="14" customFormat="1" ht="15.75"/>
    <row r="143" s="14" customFormat="1" ht="15.75"/>
    <row r="144" s="14" customFormat="1" ht="15.75"/>
    <row r="145" s="14" customFormat="1" ht="15.75"/>
    <row r="146" s="14" customFormat="1" ht="15.75"/>
    <row r="147" s="14" customFormat="1" ht="15.75"/>
    <row r="148" s="14" customFormat="1" ht="15.75"/>
    <row r="149" s="14" customFormat="1" ht="15.75"/>
    <row r="150" s="14" customFormat="1" ht="15.75"/>
    <row r="151" s="14" customFormat="1" ht="15.75"/>
    <row r="152" s="14" customFormat="1" ht="15.75"/>
    <row r="153" s="14" customFormat="1" ht="15.75"/>
    <row r="154" s="14" customFormat="1" ht="15.75"/>
    <row r="155" s="14" customFormat="1" ht="15.75"/>
    <row r="156" s="14" customFormat="1" ht="15.75"/>
    <row r="157" s="14" customFormat="1" ht="15.75"/>
    <row r="158" s="14" customFormat="1" ht="15.75"/>
    <row r="159" s="14" customFormat="1" ht="15.75"/>
    <row r="160" s="14" customFormat="1" ht="15.75"/>
    <row r="161" s="14" customFormat="1" ht="15.75"/>
    <row r="162" s="14" customFormat="1" ht="15.75"/>
    <row r="163" s="14" customFormat="1" ht="15.75"/>
    <row r="164" s="14" customFormat="1" ht="15.75"/>
    <row r="165" s="14" customFormat="1" ht="15.75"/>
    <row r="166" s="14" customFormat="1" ht="15.75"/>
    <row r="167" s="14" customFormat="1" ht="15.75"/>
    <row r="168" s="14" customFormat="1" ht="15.75"/>
    <row r="169" s="14" customFormat="1" ht="15.75"/>
    <row r="170" s="14" customFormat="1" ht="15.75"/>
    <row r="171" s="14" customFormat="1" ht="15.75"/>
    <row r="172" s="14" customFormat="1" ht="15.75"/>
    <row r="173" s="14" customFormat="1" ht="15.75"/>
    <row r="174" s="14" customFormat="1" ht="15.75"/>
    <row r="175" s="14" customFormat="1" ht="15.75"/>
    <row r="176" s="14" customFormat="1" ht="15.75"/>
    <row r="177" s="14" customFormat="1" ht="15.75"/>
    <row r="178" s="14" customFormat="1" ht="15.75"/>
    <row r="179" s="14" customFormat="1" ht="15.75"/>
    <row r="180" s="14" customFormat="1" ht="15.75"/>
    <row r="181" s="14" customFormat="1" ht="15.75"/>
    <row r="182" s="14" customFormat="1" ht="15.75"/>
    <row r="183" s="14" customFormat="1" ht="15.75"/>
    <row r="184" s="14" customFormat="1" ht="15.75"/>
  </sheetData>
  <mergeCells count="65">
    <mergeCell ref="A23:D23"/>
    <mergeCell ref="H23:I23"/>
    <mergeCell ref="A20:D20"/>
    <mergeCell ref="H20:I20"/>
    <mergeCell ref="J20:K20"/>
    <mergeCell ref="A21:D21"/>
    <mergeCell ref="H21:I21"/>
    <mergeCell ref="A22:D22"/>
    <mergeCell ref="H22:I22"/>
    <mergeCell ref="A33:G33"/>
    <mergeCell ref="H33:I33"/>
    <mergeCell ref="A34:C36"/>
    <mergeCell ref="E38:G38"/>
    <mergeCell ref="A24:D24"/>
    <mergeCell ref="H24:I24"/>
    <mergeCell ref="A25:D25"/>
    <mergeCell ref="H25:I25"/>
    <mergeCell ref="A26:D26"/>
    <mergeCell ref="H26:I26"/>
    <mergeCell ref="A31:G31"/>
    <mergeCell ref="H31:I31"/>
    <mergeCell ref="J31:K31"/>
    <mergeCell ref="A32:G32"/>
    <mergeCell ref="H32:I32"/>
    <mergeCell ref="A30:D30"/>
    <mergeCell ref="H30:I30"/>
    <mergeCell ref="J24:K24"/>
    <mergeCell ref="A28:D28"/>
    <mergeCell ref="H28:I28"/>
    <mergeCell ref="J28:K28"/>
    <mergeCell ref="A29:D29"/>
    <mergeCell ref="H29:I29"/>
    <mergeCell ref="A27:D27"/>
    <mergeCell ref="H27:I27"/>
    <mergeCell ref="A18:D18"/>
    <mergeCell ref="H18:I18"/>
    <mergeCell ref="A19:D19"/>
    <mergeCell ref="H19:I19"/>
    <mergeCell ref="A15:D15"/>
    <mergeCell ref="H15:I15"/>
    <mergeCell ref="J15:K15"/>
    <mergeCell ref="A16:D16"/>
    <mergeCell ref="H16:I16"/>
    <mergeCell ref="A17:D17"/>
    <mergeCell ref="H17:I17"/>
    <mergeCell ref="B10:D10"/>
    <mergeCell ref="H10:I10"/>
    <mergeCell ref="B12:J12"/>
    <mergeCell ref="B13:H13"/>
    <mergeCell ref="A14:D14"/>
    <mergeCell ref="H14:I14"/>
    <mergeCell ref="J14:K14"/>
    <mergeCell ref="B6:E6"/>
    <mergeCell ref="F6:G6"/>
    <mergeCell ref="H6:J6"/>
    <mergeCell ref="F7:G7"/>
    <mergeCell ref="H7:J7"/>
    <mergeCell ref="F8:G8"/>
    <mergeCell ref="H8:J8"/>
    <mergeCell ref="F3:G3"/>
    <mergeCell ref="H3:J3"/>
    <mergeCell ref="F4:G4"/>
    <mergeCell ref="H4:J4"/>
    <mergeCell ref="F5:G5"/>
    <mergeCell ref="H5:J5"/>
  </mergeCells>
  <phoneticPr fontId="20" type="noConversion"/>
  <hyperlinks>
    <hyperlink ref="H7" r:id="rId1" xr:uid="{34685EC5-71D7-4B79-B482-9B7D5C49256D}"/>
  </hyperlinks>
  <printOptions gridLinesSet="0"/>
  <pageMargins left="0.25" right="0.25" top="0.75" bottom="0.75" header="0.3" footer="0.3"/>
  <pageSetup paperSize="9" scale="86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5</vt:i4>
      </vt:variant>
    </vt:vector>
  </HeadingPairs>
  <TitlesOfParts>
    <vt:vector size="10" baseType="lpstr">
      <vt:lpstr>마케팅 (2)</vt:lpstr>
      <vt:lpstr>마케팅 단가표</vt:lpstr>
      <vt:lpstr>시장검증 단가표</vt:lpstr>
      <vt:lpstr>시장검증</vt:lpstr>
      <vt:lpstr>마케팅</vt:lpstr>
      <vt:lpstr>마케팅!Print_Area</vt:lpstr>
      <vt:lpstr>'마케팅 (2)'!Print_Area</vt:lpstr>
      <vt:lpstr>'마케팅 단가표'!Print_Area</vt:lpstr>
      <vt:lpstr>시장검증!Print_Area</vt:lpstr>
      <vt:lpstr>'시장검증 단가표'!Print_Area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Jang YM</dc:creator>
  <cp:lastModifiedBy>송 영민</cp:lastModifiedBy>
  <cp:lastPrinted>2026-07-09T06:15:49Z</cp:lastPrinted>
  <dcterms:created xsi:type="dcterms:W3CDTF">1999-03-18T08:36:55Z</dcterms:created>
  <dcterms:modified xsi:type="dcterms:W3CDTF">2026-07-09T06:15:50Z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-1979181806</vt:i4>
  </property>
  <property fmtid="{D5CDD505-2E9C-101B-9397-08002B2CF9AE}" pid="3" name="_EmailSubject">
    <vt:lpwstr>견적서 및 오레카 자료</vt:lpwstr>
  </property>
  <property fmtid="{D5CDD505-2E9C-101B-9397-08002B2CF9AE}" pid="4" name="_AuthorEmail">
    <vt:lpwstr>elbert@technovalue.com</vt:lpwstr>
  </property>
  <property fmtid="{D5CDD505-2E9C-101B-9397-08002B2CF9AE}" pid="5" name="_AuthorEmailDisplayName">
    <vt:lpwstr>김 형인</vt:lpwstr>
  </property>
  <property fmtid="{D5CDD505-2E9C-101B-9397-08002B2CF9AE}" pid="6" name="_ReviewingToolsShownOnce">
    <vt:lpwstr/>
  </property>
</Properties>
</file>