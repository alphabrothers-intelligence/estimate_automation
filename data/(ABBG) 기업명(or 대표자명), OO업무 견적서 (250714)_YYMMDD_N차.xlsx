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phabrotherscorp-my.sharepoint.com/personal/hyj_alphabrothers_co_kr/Documents/바탕 화면/견적서/알파앤, 에이비비지 견적서 샘플/"/>
    </mc:Choice>
  </mc:AlternateContent>
  <xr:revisionPtr revIDLastSave="27" documentId="13_ncr:1_{EB4D6919-15D8-44DE-BBA7-6BF19D6C1896}" xr6:coauthVersionLast="47" xr6:coauthVersionMax="47" xr10:uidLastSave="{59714C9D-F244-4C7F-B77F-CBFCB2C69F02}"/>
  <bookViews>
    <workbookView xWindow="42375" yWindow="0" windowWidth="24870" windowHeight="21000" xr2:uid="{28B5B08B-0F29-459C-8006-35FC6CC10CED}"/>
  </bookViews>
  <sheets>
    <sheet name="견적서" sheetId="1" r:id="rId1"/>
    <sheet name="데이터" sheetId="2" r:id="rId2"/>
  </sheets>
  <definedNames>
    <definedName name="_xlnm.Print_Area" localSheetId="0">견적서!$A$1:$AD$47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9" i="1" l="1"/>
  <c r="G18" i="1"/>
  <c r="V18" i="1"/>
  <c r="AA12" i="1" l="1"/>
  <c r="AA13" i="1"/>
  <c r="AA14" i="1"/>
  <c r="AA15" i="1"/>
  <c r="AA16" i="1"/>
  <c r="AA17" i="1"/>
  <c r="P43" i="1" l="1"/>
  <c r="U43" i="1" s="1" a="1"/>
  <c r="U43" i="1" s="1"/>
  <c r="P45" i="1"/>
  <c r="U45" i="1" s="1" a="1"/>
  <c r="U45" i="1" s="1"/>
  <c r="P44" i="1"/>
  <c r="U44" i="1" s="1" a="1"/>
  <c r="U44" i="1" s="1"/>
  <c r="P42" i="1"/>
  <c r="U42" i="1" s="1" a="1"/>
  <c r="U42" i="1" s="1"/>
  <c r="Z42" i="1" s="1"/>
  <c r="AA11" i="1"/>
  <c r="AA10" i="1"/>
  <c r="Z44" i="1" l="1"/>
  <c r="Z45" i="1"/>
  <c r="Z4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<sst xmlns="http://schemas.openxmlformats.org/spreadsheetml/2006/main" count="73" uniqueCount="68">
  <si>
    <t>상품명</t>
    <phoneticPr fontId="1" type="noConversion"/>
  </si>
  <si>
    <t>공급가액</t>
    <phoneticPr fontId="1" type="noConversion"/>
  </si>
  <si>
    <t>부가세</t>
    <phoneticPr fontId="1" type="noConversion"/>
  </si>
  <si>
    <t>아래와 같이 견적합니다.</t>
    <phoneticPr fontId="1" type="noConversion"/>
  </si>
  <si>
    <t>최종제안가 (부가세 포함)</t>
    <phoneticPr fontId="1" type="noConversion"/>
  </si>
  <si>
    <t>공
급
받
는
자</t>
    <phoneticPr fontId="1" type="noConversion"/>
  </si>
  <si>
    <t>공
급
자</t>
    <phoneticPr fontId="1" type="noConversion"/>
  </si>
  <si>
    <t>사업자번호</t>
    <phoneticPr fontId="1" type="noConversion"/>
  </si>
  <si>
    <t>연락처</t>
    <phoneticPr fontId="1" type="noConversion"/>
  </si>
  <si>
    <t>이메일</t>
    <phoneticPr fontId="1" type="noConversion"/>
  </si>
  <si>
    <t>대표이사</t>
    <phoneticPr fontId="1" type="noConversion"/>
  </si>
  <si>
    <t>김영률 팀장</t>
    <phoneticPr fontId="1" type="noConversion"/>
  </si>
  <si>
    <t>010-2139-7416</t>
    <phoneticPr fontId="1" type="noConversion"/>
  </si>
  <si>
    <t xml:space="preserve"> 본 견적서는 견적일자로부터 14일간 유효하며 이후 상세 상품 구성 및 최종제안가는 상호 협의하에 변경될 수 있습니다.</t>
    <phoneticPr fontId="1" type="noConversion"/>
  </si>
  <si>
    <t xml:space="preserve"> 해당 계약은 "공급자"가 제작이 완료된 결과물을 모두 "공급받는자"에게 제공할 경우 계약 내용을 모두 이행한 것으로 간주합니다.</t>
    <phoneticPr fontId="1" type="noConversion"/>
  </si>
  <si>
    <t>상호명</t>
    <phoneticPr fontId="1" type="noConversion"/>
  </si>
  <si>
    <t>단가</t>
    <phoneticPr fontId="1" type="noConversion"/>
  </si>
  <si>
    <t xml:space="preserve"> 업무에 필요한 모든 원시자료는 "공급받는자"가 제공함을 원칙으로 합니다.</t>
    <phoneticPr fontId="1" type="noConversion"/>
  </si>
  <si>
    <t xml:space="preserve"> 단가 산정은 직접인건비(월) + 제경비 + 기술료 금액입니다.</t>
    <phoneticPr fontId="1" type="noConversion"/>
  </si>
  <si>
    <t xml:space="preserve"> 상용 이미지 단가는 별도 산정하며 사용된 이미지에 대한 라이선스는 판매사의 정책에 따릅니다.</t>
    <phoneticPr fontId="1" type="noConversion"/>
  </si>
  <si>
    <t xml:space="preserve"> H/W 및 S/W 도입 필요시 관련 견적은 상호간에 별도 산정하여 진행합니다.</t>
    <phoneticPr fontId="1" type="noConversion"/>
  </si>
  <si>
    <t xml:space="preserve"> 유지보수와 관련한 사항은 계약 성사 전 상호간에 협의한 내용에 따릅니다.</t>
    <phoneticPr fontId="1" type="noConversion"/>
  </si>
  <si>
    <t>기술자 구분</t>
    <phoneticPr fontId="1" type="noConversion"/>
  </si>
  <si>
    <t>제경비 (110%)</t>
    <phoneticPr fontId="1" type="noConversion"/>
  </si>
  <si>
    <t>기술료 (20%)</t>
    <phoneticPr fontId="1" type="noConversion"/>
  </si>
  <si>
    <t>합계</t>
    <phoneticPr fontId="1" type="noConversion"/>
  </si>
  <si>
    <t>일평균임금 (M/D)</t>
    <phoneticPr fontId="1" type="noConversion"/>
  </si>
  <si>
    <t>월평균임금 (M/M)</t>
    <phoneticPr fontId="1" type="noConversion"/>
  </si>
  <si>
    <t>UX/UI 디자이너</t>
    <phoneticPr fontId="1" type="noConversion"/>
  </si>
  <si>
    <t>UX/UI 기획자</t>
    <phoneticPr fontId="1" type="noConversion"/>
  </si>
  <si>
    <t>UX/UI 개발자</t>
    <phoneticPr fontId="1" type="noConversion"/>
  </si>
  <si>
    <t xml:space="preserve"> 본 견적서는 "2023년 적용 SW기술자 평균임금 공표"를 근거로 단가를 산정했습니다.</t>
    <phoneticPr fontId="1" type="noConversion"/>
  </si>
  <si>
    <t>IT 프로젝트관리자 (PM)</t>
    <phoneticPr fontId="1" type="noConversion"/>
  </si>
  <si>
    <r>
      <t xml:space="preserve"> 계약 성사시 최종제안가는 </t>
    </r>
    <r>
      <rPr>
        <b/>
        <u/>
        <sz val="11"/>
        <color theme="1"/>
        <rFont val="맑은 고딕"/>
        <family val="3"/>
        <charset val="129"/>
        <scheme val="minor"/>
      </rPr>
      <t>작업 시작 전 선불로 일시납</t>
    </r>
    <r>
      <rPr>
        <sz val="11"/>
        <color theme="1"/>
        <rFont val="맑은 고딕"/>
        <family val="2"/>
        <charset val="129"/>
        <scheme val="minor"/>
      </rPr>
      <t>합니다.</t>
    </r>
    <phoneticPr fontId="1" type="noConversion"/>
  </si>
  <si>
    <t xml:space="preserve"> 사진 추가(보정 포함)의 경우 1컷당 단가 5만원이 추가됩니다.</t>
    <phoneticPr fontId="1" type="noConversion"/>
  </si>
  <si>
    <t xml:space="preserve"> 호리존 스튜디오 (자사 보유)가 아닌 자연광 콘셉트를 원하실 경우, 스튜디오 렌탈비용은 협의 후 실비로 청구됩니다.</t>
    <phoneticPr fontId="1" type="noConversion"/>
  </si>
  <si>
    <t xml:space="preserve"> 전문 모델 비용은 원하시는 모델에 따라 비용이 상이하며, 사전 협의 후 실비로 청구됩니다.</t>
    <phoneticPr fontId="1" type="noConversion"/>
  </si>
  <si>
    <t xml:space="preserve"> 전문 모델 기용시 헤어&amp;메이크업&amp;스타일링 전문가 기용이 추가로 필요하며, 사전 협의 후 진행하여 실비로 청구됩니다.</t>
    <phoneticPr fontId="1" type="noConversion"/>
  </si>
  <si>
    <r>
      <t xml:space="preserve"> 계약 성사시 최종제안가는 </t>
    </r>
    <r>
      <rPr>
        <b/>
        <u/>
        <sz val="11"/>
        <color theme="1"/>
        <rFont val="맑은 고딕"/>
        <family val="3"/>
        <charset val="129"/>
        <scheme val="minor"/>
      </rPr>
      <t>작업 시작 전 선금 50% 작업 완료 후 잔금 50%로 분할납</t>
    </r>
    <r>
      <rPr>
        <sz val="11"/>
        <color theme="1"/>
        <rFont val="맑은 고딕"/>
        <family val="2"/>
        <charset val="129"/>
        <scheme val="minor"/>
      </rPr>
      <t>합니다.</t>
    </r>
    <phoneticPr fontId="1" type="noConversion"/>
  </si>
  <si>
    <r>
      <t xml:space="preserve"> 계약 성사시 최종제안가는 </t>
    </r>
    <r>
      <rPr>
        <b/>
        <u/>
        <sz val="11"/>
        <color theme="1"/>
        <rFont val="맑은 고딕"/>
        <family val="3"/>
        <charset val="129"/>
        <scheme val="minor"/>
      </rPr>
      <t>작업 완료 후 후불로 일시납</t>
    </r>
    <r>
      <rPr>
        <sz val="11"/>
        <color theme="1"/>
        <rFont val="맑은 고딕"/>
        <family val="2"/>
        <charset val="129"/>
        <scheme val="minor"/>
      </rPr>
      <t>합니다.</t>
    </r>
    <phoneticPr fontId="1" type="noConversion"/>
  </si>
  <si>
    <t xml:space="preserve"> ◈ 2023년 적용 SW기술자 평균임금 공표</t>
    <phoneticPr fontId="1" type="noConversion"/>
  </si>
  <si>
    <t xml:space="preserve"> 손모델 기용을 원하실 경우, 단가 20만원이 추가됩니다.</t>
    <phoneticPr fontId="1" type="noConversion"/>
  </si>
  <si>
    <t xml:space="preserve"> GIF 영상을 추가로 제작 요청하실 경우 1건당 단가 10만원이 추가됩니다.</t>
    <phoneticPr fontId="1" type="noConversion"/>
  </si>
  <si>
    <t xml:space="preserve"> 계약 성사시 최종제안가는 작업 시작 전 선불로 일시납합니다.</t>
    <phoneticPr fontId="1" type="noConversion"/>
  </si>
  <si>
    <t>683-81-02874</t>
    <phoneticPr fontId="1" type="noConversion"/>
  </si>
  <si>
    <t>주식회사 에이비비지</t>
    <phoneticPr fontId="1" type="noConversion"/>
  </si>
  <si>
    <t>support@abbg.co.kr</t>
    <phoneticPr fontId="1" type="noConversion"/>
  </si>
  <si>
    <t xml:space="preserve"> 제작이 완료된 결과물은 주식회사 에이비비지의 포트폴리오로 활용될 수 있습니다.</t>
    <phoneticPr fontId="1" type="noConversion"/>
  </si>
  <si>
    <t>예금주명</t>
    <phoneticPr fontId="1" type="noConversion"/>
  </si>
  <si>
    <t>견적일</t>
    <phoneticPr fontId="1" type="noConversion"/>
  </si>
  <si>
    <t>특약</t>
    <phoneticPr fontId="1" type="noConversion"/>
  </si>
  <si>
    <t>개발</t>
    <phoneticPr fontId="1" type="noConversion"/>
  </si>
  <si>
    <t>수령인</t>
    <phoneticPr fontId="1" type="noConversion"/>
  </si>
  <si>
    <t>작성인</t>
    <phoneticPr fontId="1" type="noConversion"/>
  </si>
  <si>
    <t>권  태  인        (인)</t>
    <phoneticPr fontId="1" type="noConversion"/>
  </si>
  <si>
    <t>상세내용</t>
    <phoneticPr fontId="1" type="noConversion"/>
  </si>
  <si>
    <t>소요일</t>
    <phoneticPr fontId="1" type="noConversion"/>
  </si>
  <si>
    <t>작업수량</t>
    <phoneticPr fontId="1" type="noConversion"/>
  </si>
  <si>
    <t>지급처</t>
    <phoneticPr fontId="1" type="noConversion"/>
  </si>
  <si>
    <t>신한은행 140-014-440730</t>
  </si>
  <si>
    <t>신한은행 140-014-440730</t>
    <phoneticPr fontId="1" type="noConversion"/>
  </si>
  <si>
    <r>
      <t xml:space="preserve">견   적   서  </t>
    </r>
    <r>
      <rPr>
        <sz val="20"/>
        <color theme="0"/>
        <rFont val="Pretendard SemiBold"/>
        <family val="3"/>
        <charset val="129"/>
      </rPr>
      <t>( 상 품 제 안 서 )</t>
    </r>
    <phoneticPr fontId="1" type="noConversion"/>
  </si>
  <si>
    <t>UXUI
(버튼,레이어팝업,로고)</t>
    <phoneticPr fontId="1" type="noConversion"/>
  </si>
  <si>
    <t>온라인 소재 프로모션
(프로모션 디자인,메인이미지 
검색광고,팝업 디자인
픽토그램, 개인화마케팅용 디자인)</t>
    <phoneticPr fontId="1" type="noConversion"/>
  </si>
  <si>
    <t>오프라인
(X배너,현수막,브로슈어,판넬)</t>
    <phoneticPr fontId="1" type="noConversion"/>
  </si>
  <si>
    <t>기타
(E-컨시어지 모바일용 이미지, 사내 메일 내 배너 디자인, 이미지보정, 수정 작업)</t>
    <phoneticPr fontId="1" type="noConversion"/>
  </si>
  <si>
    <t>YYYY-MM-DD</t>
    <phoneticPr fontId="1" type="noConversion"/>
  </si>
  <si>
    <r>
      <rPr>
        <sz val="24"/>
        <color theme="0"/>
        <rFont val="나눔스퀘어_ac ExtraBold"/>
        <family val="3"/>
        <charset val="129"/>
      </rPr>
      <t xml:space="preserve"> </t>
    </r>
    <r>
      <rPr>
        <sz val="24"/>
        <color theme="0"/>
        <rFont val="Pretendard SemiBold"/>
        <family val="3"/>
        <charset val="129"/>
      </rPr>
      <t>주식회사 에이비비지</t>
    </r>
    <r>
      <rPr>
        <sz val="18"/>
        <color theme="0"/>
        <rFont val="나눔스퀘어_ac ExtraBold"/>
        <family val="3"/>
        <charset val="129"/>
      </rPr>
      <t xml:space="preserve"> </t>
    </r>
    <r>
      <rPr>
        <sz val="11"/>
        <color theme="0"/>
        <rFont val="Pretendard Light"/>
        <family val="3"/>
        <charset val="129"/>
      </rPr>
      <t>/ 서울특별시 강서구 공항대로45길 75, 5층(등촌동) / support@abbg.co.kr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</si>
</sst>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₩&quot;* #,##0_-;\-&quot;₩&quot;* #,##0_-;_-&quot;₩&quot;* &quot;-&quot;_-;_-@_-"/>
    <numFmt numFmtId="176" formatCode="&quot;₩&quot;#,##0_);[Red]\(&quot;₩&quot;#,##0\)"/>
  </numFmts>
  <fonts count="3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u/>
      <sz val="11"/>
      <color theme="1"/>
      <name val="맑은 고딕"/>
      <family val="3"/>
      <charset val="129"/>
      <scheme val="minor"/>
    </font>
    <font>
      <sz val="24"/>
      <color theme="1"/>
      <name val="나눔스퀘어_ac"/>
      <family val="3"/>
      <charset val="129"/>
    </font>
    <font>
      <sz val="11"/>
      <color theme="1"/>
      <name val="나눔스퀘어_ac"/>
      <family val="3"/>
      <charset val="129"/>
    </font>
    <font>
      <sz val="9"/>
      <color theme="1"/>
      <name val="나눔스퀘어_ac"/>
      <family val="3"/>
      <charset val="129"/>
    </font>
    <font>
      <b/>
      <sz val="11"/>
      <color theme="1"/>
      <name val="나눔스퀘어_ac"/>
      <family val="3"/>
      <charset val="129"/>
    </font>
    <font>
      <b/>
      <sz val="12"/>
      <color theme="1"/>
      <name val="나눔스퀘어_ac"/>
      <family val="3"/>
      <charset val="129"/>
    </font>
    <font>
      <sz val="10"/>
      <color theme="1"/>
      <name val="나눔스퀘어_ac"/>
      <family val="3"/>
      <charset val="129"/>
    </font>
    <font>
      <sz val="10"/>
      <color theme="1"/>
      <name val="나눔스퀘어 Bold"/>
      <family val="3"/>
      <charset val="129"/>
    </font>
    <font>
      <sz val="12"/>
      <color theme="1"/>
      <name val="나눔스퀘어_ac Bold"/>
      <family val="3"/>
      <charset val="129"/>
    </font>
    <font>
      <sz val="14"/>
      <color theme="1"/>
      <name val="나눔스퀘어 ExtraBold"/>
      <family val="3"/>
      <charset val="129"/>
    </font>
    <font>
      <sz val="12"/>
      <color theme="1"/>
      <name val="나눔스퀘어 Bold"/>
      <family val="3"/>
      <charset val="129"/>
    </font>
    <font>
      <sz val="24"/>
      <color theme="0"/>
      <name val="나눔스퀘어_ac ExtraBold"/>
      <family val="3"/>
      <charset val="129"/>
    </font>
    <font>
      <sz val="11"/>
      <color theme="0"/>
      <name val="나눔스퀘어_ac"/>
      <family val="3"/>
      <charset val="129"/>
    </font>
    <font>
      <sz val="18"/>
      <color theme="0"/>
      <name val="나눔스퀘어_ac ExtraBold"/>
      <family val="3"/>
      <charset val="129"/>
    </font>
    <font>
      <sz val="28"/>
      <color theme="0"/>
      <name val="Pretendard ExtraBold"/>
      <family val="3"/>
      <charset val="129"/>
    </font>
    <font>
      <sz val="24"/>
      <color theme="0"/>
      <name val="Pretendard ExtraBold"/>
      <family val="3"/>
      <charset val="129"/>
    </font>
    <font>
      <sz val="20"/>
      <color theme="0"/>
      <name val="Pretendard SemiBold"/>
      <family val="3"/>
      <charset val="129"/>
    </font>
    <font>
      <sz val="14"/>
      <color theme="1"/>
      <name val="Pretendard SemiBold"/>
      <family val="3"/>
      <charset val="129"/>
    </font>
    <font>
      <sz val="11"/>
      <color theme="1"/>
      <name val="Pretendard SemiBold"/>
      <family val="3"/>
      <charset val="129"/>
    </font>
    <font>
      <sz val="12"/>
      <color theme="1"/>
      <name val="Pretendard SemiBold"/>
      <family val="3"/>
      <charset val="129"/>
    </font>
    <font>
      <sz val="11"/>
      <color theme="1"/>
      <name val="Pretendard Light"/>
      <family val="3"/>
      <charset val="129"/>
    </font>
    <font>
      <u/>
      <sz val="11"/>
      <color theme="10"/>
      <name val="Pretendard Light"/>
      <family val="3"/>
      <charset val="129"/>
    </font>
    <font>
      <sz val="12"/>
      <color theme="1"/>
      <name val="Pretendard Light"/>
      <family val="3"/>
      <charset val="129"/>
    </font>
    <font>
      <b/>
      <sz val="11"/>
      <color theme="1"/>
      <name val="Pretendard Light"/>
      <family val="3"/>
      <charset val="129"/>
    </font>
    <font>
      <sz val="10"/>
      <color theme="1"/>
      <name val="Pretendard Light"/>
      <family val="3"/>
      <charset val="129"/>
    </font>
    <font>
      <sz val="18"/>
      <color theme="1"/>
      <name val="Pretendard SemiBold"/>
      <family val="3"/>
      <charset val="129"/>
    </font>
    <font>
      <sz val="24"/>
      <color theme="0"/>
      <name val="Pretendard SemiBold"/>
      <family val="3"/>
      <charset val="129"/>
    </font>
    <font>
      <sz val="11"/>
      <color theme="0"/>
      <name val="Pretendard Light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156FFF"/>
        <bgColor indexed="64"/>
      </patternFill>
    </fill>
    <fill>
      <patternFill patternType="solid">
        <fgColor rgb="FFE7F0FF"/>
        <bgColor indexed="64"/>
      </patternFill>
    </fill>
  </fills>
  <borders count="11">
    <border>
      <left/>
      <right/>
      <top/>
      <bottom/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</cellStyleXfs>
  <cellXfs count="95">
    <xf numFmtId="0" fontId="0" fillId="0" borderId="0" xfId="0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6" fillId="2" borderId="0" xfId="0" applyFont="1" applyFill="1">
      <alignment vertical="center"/>
    </xf>
    <xf numFmtId="0" fontId="9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0" fontId="27" fillId="0" borderId="4" xfId="0" applyFont="1" applyBorder="1" applyAlignment="1">
      <alignment horizontal="center" vertical="center"/>
    </xf>
    <xf numFmtId="0" fontId="27" fillId="0" borderId="5" xfId="0" applyFont="1" applyBorder="1" applyAlignment="1">
      <alignment horizontal="center" vertical="center"/>
    </xf>
    <xf numFmtId="0" fontId="23" fillId="4" borderId="4" xfId="0" applyFont="1" applyFill="1" applyBorder="1" applyAlignment="1">
      <alignment horizontal="center" vertical="center"/>
    </xf>
    <xf numFmtId="0" fontId="23" fillId="4" borderId="5" xfId="0" applyFont="1" applyFill="1" applyBorder="1" applyAlignment="1">
      <alignment horizontal="center" vertical="center"/>
    </xf>
    <xf numFmtId="176" fontId="29" fillId="0" borderId="5" xfId="0" applyNumberFormat="1" applyFont="1" applyBorder="1" applyAlignment="1">
      <alignment horizontal="center" vertical="center"/>
    </xf>
    <xf numFmtId="176" fontId="29" fillId="0" borderId="6" xfId="0" applyNumberFormat="1" applyFont="1" applyBorder="1" applyAlignment="1">
      <alignment horizontal="center" vertical="center"/>
    </xf>
    <xf numFmtId="0" fontId="23" fillId="4" borderId="7" xfId="0" applyFont="1" applyFill="1" applyBorder="1" applyAlignment="1">
      <alignment horizontal="center" vertical="center"/>
    </xf>
    <xf numFmtId="0" fontId="23" fillId="4" borderId="8" xfId="0" applyFont="1" applyFill="1" applyBorder="1" applyAlignment="1">
      <alignment horizontal="center" vertical="center"/>
    </xf>
    <xf numFmtId="176" fontId="23" fillId="0" borderId="5" xfId="0" applyNumberFormat="1" applyFont="1" applyBorder="1" applyAlignment="1">
      <alignment horizontal="right" vertical="center"/>
    </xf>
    <xf numFmtId="176" fontId="23" fillId="0" borderId="6" xfId="0" applyNumberFormat="1" applyFont="1" applyBorder="1" applyAlignment="1">
      <alignment horizontal="right" vertical="center"/>
    </xf>
    <xf numFmtId="0" fontId="24" fillId="0" borderId="8" xfId="0" applyFont="1" applyBorder="1" applyAlignment="1">
      <alignment horizontal="center" vertical="center"/>
    </xf>
    <xf numFmtId="176" fontId="24" fillId="0" borderId="5" xfId="0" applyNumberFormat="1" applyFont="1" applyBorder="1" applyAlignment="1">
      <alignment horizontal="right" vertical="center"/>
    </xf>
    <xf numFmtId="0" fontId="24" fillId="0" borderId="5" xfId="2" applyNumberFormat="1" applyFont="1" applyBorder="1" applyAlignment="1">
      <alignment horizontal="center" vertical="center"/>
    </xf>
    <xf numFmtId="0" fontId="24" fillId="0" borderId="5" xfId="0" applyFont="1" applyBorder="1" applyAlignment="1">
      <alignment horizontal="center" vertical="center"/>
    </xf>
    <xf numFmtId="0" fontId="24" fillId="0" borderId="5" xfId="0" applyFont="1" applyBorder="1" applyAlignment="1">
      <alignment horizontal="left" vertical="center"/>
    </xf>
    <xf numFmtId="176" fontId="24" fillId="0" borderId="6" xfId="0" applyNumberFormat="1" applyFont="1" applyBorder="1" applyAlignment="1">
      <alignment horizontal="right" vertical="center"/>
    </xf>
    <xf numFmtId="0" fontId="24" fillId="0" borderId="9" xfId="0" applyFont="1" applyBorder="1" applyAlignment="1">
      <alignment horizontal="center" vertical="center"/>
    </xf>
    <xf numFmtId="0" fontId="24" fillId="0" borderId="6" xfId="0" applyFont="1" applyBorder="1" applyAlignment="1">
      <alignment horizontal="left" vertical="center"/>
    </xf>
    <xf numFmtId="0" fontId="24" fillId="0" borderId="10" xfId="0" applyFont="1" applyBorder="1" applyAlignment="1">
      <alignment horizontal="left" vertical="center"/>
    </xf>
    <xf numFmtId="0" fontId="24" fillId="0" borderId="4" xfId="0" applyFont="1" applyBorder="1" applyAlignment="1">
      <alignment horizontal="left" vertical="center"/>
    </xf>
    <xf numFmtId="0" fontId="23" fillId="4" borderId="1" xfId="0" applyFont="1" applyFill="1" applyBorder="1" applyAlignment="1">
      <alignment horizontal="center" vertical="center"/>
    </xf>
    <xf numFmtId="0" fontId="23" fillId="4" borderId="2" xfId="0" applyFont="1" applyFill="1" applyBorder="1" applyAlignment="1">
      <alignment horizontal="center" vertical="center"/>
    </xf>
    <xf numFmtId="0" fontId="27" fillId="0" borderId="4" xfId="0" applyFont="1" applyBorder="1" applyAlignment="1">
      <alignment horizontal="center" vertical="center" wrapText="1"/>
    </xf>
    <xf numFmtId="0" fontId="22" fillId="4" borderId="8" xfId="0" applyFont="1" applyFill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3" fillId="4" borderId="3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8" fillId="3" borderId="0" xfId="0" applyFont="1" applyFill="1" applyAlignment="1">
      <alignment horizontal="center" vertical="center" wrapText="1"/>
    </xf>
    <xf numFmtId="0" fontId="19" fillId="3" borderId="0" xfId="0" applyFont="1" applyFill="1" applyAlignment="1">
      <alignment horizontal="center" vertical="center" wrapText="1"/>
    </xf>
    <xf numFmtId="0" fontId="21" fillId="4" borderId="2" xfId="0" applyFont="1" applyFill="1" applyBorder="1" applyAlignment="1">
      <alignment horizontal="center" vertical="center" wrapText="1"/>
    </xf>
    <xf numFmtId="0" fontId="21" fillId="4" borderId="5" xfId="0" applyFont="1" applyFill="1" applyBorder="1" applyAlignment="1">
      <alignment horizontal="center" vertical="center"/>
    </xf>
    <xf numFmtId="0" fontId="21" fillId="4" borderId="8" xfId="0" applyFont="1" applyFill="1" applyBorder="1" applyAlignment="1">
      <alignment horizontal="center" vertical="center"/>
    </xf>
    <xf numFmtId="0" fontId="22" fillId="4" borderId="2" xfId="0" applyFont="1" applyFill="1" applyBorder="1" applyAlignment="1">
      <alignment horizontal="center" vertical="center"/>
    </xf>
    <xf numFmtId="0" fontId="22" fillId="4" borderId="5" xfId="0" applyFont="1" applyFill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24" fillId="0" borderId="6" xfId="0" applyFont="1" applyBorder="1" applyAlignment="1">
      <alignment horizontal="center" vertical="center"/>
    </xf>
    <xf numFmtId="0" fontId="25" fillId="0" borderId="8" xfId="1" applyFont="1" applyBorder="1" applyAlignment="1">
      <alignment horizontal="center" vertical="center"/>
    </xf>
    <xf numFmtId="0" fontId="21" fillId="4" borderId="1" xfId="0" applyFont="1" applyFill="1" applyBorder="1" applyAlignment="1">
      <alignment horizontal="center" vertical="center" wrapText="1"/>
    </xf>
    <xf numFmtId="0" fontId="21" fillId="4" borderId="4" xfId="0" applyFont="1" applyFill="1" applyBorder="1" applyAlignment="1">
      <alignment horizontal="center" vertical="center"/>
    </xf>
    <xf numFmtId="0" fontId="21" fillId="4" borderId="7" xfId="0" applyFont="1" applyFill="1" applyBorder="1" applyAlignment="1">
      <alignment horizontal="center" vertical="center"/>
    </xf>
    <xf numFmtId="14" fontId="24" fillId="2" borderId="2" xfId="0" applyNumberFormat="1" applyFont="1" applyFill="1" applyBorder="1" applyAlignment="1">
      <alignment horizontal="center" vertical="center"/>
    </xf>
    <xf numFmtId="0" fontId="24" fillId="2" borderId="2" xfId="0" applyFont="1" applyFill="1" applyBorder="1" applyAlignment="1">
      <alignment horizontal="center" vertical="center"/>
    </xf>
    <xf numFmtId="0" fontId="24" fillId="0" borderId="5" xfId="0" quotePrefix="1" applyFont="1" applyBorder="1" applyAlignment="1">
      <alignment horizontal="center" vertical="center"/>
    </xf>
    <xf numFmtId="0" fontId="2" fillId="0" borderId="8" xfId="1" applyBorder="1" applyAlignment="1">
      <alignment horizontal="center" vertical="center"/>
    </xf>
    <xf numFmtId="0" fontId="22" fillId="4" borderId="6" xfId="0" applyFont="1" applyFill="1" applyBorder="1" applyAlignment="1">
      <alignment horizontal="center" vertical="center"/>
    </xf>
    <xf numFmtId="0" fontId="22" fillId="4" borderId="4" xfId="0" applyFont="1" applyFill="1" applyBorder="1" applyAlignment="1">
      <alignment horizontal="center" vertical="center"/>
    </xf>
    <xf numFmtId="0" fontId="24" fillId="2" borderId="6" xfId="0" applyFont="1" applyFill="1" applyBorder="1" applyAlignment="1">
      <alignment horizontal="center" vertical="center"/>
    </xf>
    <xf numFmtId="0" fontId="24" fillId="2" borderId="10" xfId="0" applyFont="1" applyFill="1" applyBorder="1" applyAlignment="1">
      <alignment horizontal="center" vertical="center"/>
    </xf>
    <xf numFmtId="0" fontId="24" fillId="0" borderId="10" xfId="0" applyFont="1" applyBorder="1" applyAlignment="1">
      <alignment horizontal="center" vertical="center"/>
    </xf>
    <xf numFmtId="0" fontId="24" fillId="0" borderId="4" xfId="0" applyFont="1" applyBorder="1" applyAlignment="1">
      <alignment horizontal="center" vertical="center"/>
    </xf>
    <xf numFmtId="0" fontId="28" fillId="0" borderId="5" xfId="0" applyFont="1" applyBorder="1" applyAlignment="1">
      <alignment horizontal="left" vertical="center"/>
    </xf>
    <xf numFmtId="0" fontId="28" fillId="0" borderId="6" xfId="0" applyFont="1" applyBorder="1" applyAlignment="1">
      <alignment horizontal="left" vertical="center"/>
    </xf>
    <xf numFmtId="0" fontId="16" fillId="3" borderId="0" xfId="0" applyFont="1" applyFill="1" applyAlignment="1">
      <alignment horizontal="left" wrapText="1"/>
    </xf>
    <xf numFmtId="0" fontId="16" fillId="3" borderId="0" xfId="0" applyFont="1" applyFill="1" applyAlignment="1">
      <alignment horizontal="left"/>
    </xf>
    <xf numFmtId="0" fontId="7" fillId="0" borderId="0" xfId="0" applyFont="1" applyAlignment="1">
      <alignment horizontal="right" vertical="center"/>
    </xf>
    <xf numFmtId="0" fontId="8" fillId="2" borderId="0" xfId="0" applyFont="1" applyFill="1" applyAlignment="1">
      <alignment horizontal="center" vertical="center"/>
    </xf>
    <xf numFmtId="0" fontId="23" fillId="4" borderId="1" xfId="0" applyFont="1" applyFill="1" applyBorder="1" applyAlignment="1">
      <alignment horizontal="center" vertical="center" wrapText="1"/>
    </xf>
    <xf numFmtId="0" fontId="28" fillId="0" borderId="2" xfId="0" applyFont="1" applyBorder="1" applyAlignment="1">
      <alignment horizontal="left" vertical="center"/>
    </xf>
    <xf numFmtId="0" fontId="28" fillId="0" borderId="3" xfId="0" applyFont="1" applyBorder="1" applyAlignment="1">
      <alignment horizontal="left" vertical="center"/>
    </xf>
    <xf numFmtId="0" fontId="28" fillId="0" borderId="8" xfId="0" applyFont="1" applyBorder="1" applyAlignment="1">
      <alignment horizontal="left" vertical="center"/>
    </xf>
    <xf numFmtId="0" fontId="28" fillId="0" borderId="9" xfId="0" applyFont="1" applyBorder="1" applyAlignment="1">
      <alignment horizontal="left" vertical="center"/>
    </xf>
    <xf numFmtId="0" fontId="12" fillId="4" borderId="2" xfId="0" applyFont="1" applyFill="1" applyBorder="1" applyAlignment="1">
      <alignment horizontal="center" vertical="center" wrapText="1"/>
    </xf>
    <xf numFmtId="0" fontId="12" fillId="4" borderId="3" xfId="0" applyFont="1" applyFill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176" fontId="10" fillId="0" borderId="5" xfId="0" applyNumberFormat="1" applyFont="1" applyBorder="1" applyAlignment="1">
      <alignment horizontal="right" vertical="center"/>
    </xf>
    <xf numFmtId="176" fontId="10" fillId="0" borderId="8" xfId="0" applyNumberFormat="1" applyFont="1" applyBorder="1" applyAlignment="1">
      <alignment horizontal="right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176" fontId="11" fillId="0" borderId="5" xfId="0" applyNumberFormat="1" applyFont="1" applyBorder="1" applyAlignment="1">
      <alignment horizontal="right" vertical="center"/>
    </xf>
    <xf numFmtId="176" fontId="11" fillId="0" borderId="6" xfId="0" applyNumberFormat="1" applyFont="1" applyBorder="1" applyAlignment="1">
      <alignment horizontal="right" vertical="center"/>
    </xf>
    <xf numFmtId="176" fontId="10" fillId="0" borderId="6" xfId="0" applyNumberFormat="1" applyFont="1" applyBorder="1" applyAlignment="1">
      <alignment horizontal="right" vertical="center"/>
    </xf>
    <xf numFmtId="176" fontId="10" fillId="0" borderId="9" xfId="0" applyNumberFormat="1" applyFont="1" applyBorder="1" applyAlignment="1">
      <alignment horizontal="right" vertical="center"/>
    </xf>
    <xf numFmtId="0" fontId="9" fillId="2" borderId="0" xfId="0" applyFont="1" applyFill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4" xfId="0" applyFont="1" applyFill="1" applyBorder="1" applyAlignment="1">
      <alignment horizontal="center" vertical="center" wrapText="1"/>
    </xf>
    <xf numFmtId="0" fontId="14" fillId="4" borderId="7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0" fontId="10" fillId="0" borderId="5" xfId="0" applyFont="1" applyBorder="1" applyAlignment="1">
      <alignment horizontal="left" vertical="center"/>
    </xf>
    <xf numFmtId="0" fontId="10" fillId="0" borderId="6" xfId="0" applyFont="1" applyBorder="1" applyAlignment="1">
      <alignment horizontal="left" vertical="center"/>
    </xf>
    <xf numFmtId="0" fontId="10" fillId="0" borderId="8" xfId="0" applyFont="1" applyBorder="1" applyAlignment="1">
      <alignment horizontal="left" vertical="center"/>
    </xf>
    <xf numFmtId="0" fontId="10" fillId="0" borderId="9" xfId="0" applyFont="1" applyBorder="1" applyAlignment="1">
      <alignment horizontal="left" vertical="center"/>
    </xf>
    <xf numFmtId="0" fontId="13" fillId="2" borderId="0" xfId="0" applyFont="1" applyFill="1" applyAlignment="1">
      <alignment horizontal="left" vertical="center"/>
    </xf>
    <xf numFmtId="0" fontId="12" fillId="4" borderId="1" xfId="0" applyFont="1" applyFill="1" applyBorder="1" applyAlignment="1">
      <alignment horizontal="center" vertical="center" wrapText="1"/>
    </xf>
  </cellXfs>
  <cellStyles count="3">
    <cellStyle name="통화 [0]" xfId="2" builtinId="7"/>
    <cellStyle name="표준" xfId="0" builtinId="0"/>
    <cellStyle name="하이퍼링크" xfId="1" builtinId="8"/>
  </cellStyles>
  <dxfs count="0"/>
  <tableStyles count="0" defaultTableStyle="TableStyleMedium2" defaultPivotStyle="PivotStyleLight16"/>
  <colors>
    <mruColors>
      <color rgb="FFE7F0FF"/>
      <color rgb="FFD1E3FF"/>
      <color rgb="FF156FFF"/>
      <color rgb="FFB3D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185237</xdr:colOff>
      <xdr:row>46</xdr:row>
      <xdr:rowOff>79216</xdr:rowOff>
    </xdr:from>
    <xdr:to>
      <xdr:col>29</xdr:col>
      <xdr:colOff>348156</xdr:colOff>
      <xdr:row>46</xdr:row>
      <xdr:rowOff>560995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18B5B65C-0D5A-8CFB-B7CC-CFA8AB85D0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59806" y="17027147"/>
          <a:ext cx="1870850" cy="481779"/>
        </a:xfrm>
        <a:prstGeom prst="rect">
          <a:avLst/>
        </a:prstGeom>
      </xdr:spPr>
    </xdr:pic>
    <xdr:clientData/>
  </xdr:twoCellAnchor>
  <xdr:twoCellAnchor editAs="oneCell">
    <xdr:from>
      <xdr:col>28</xdr:col>
      <xdr:colOff>67237</xdr:colOff>
      <xdr:row>2</xdr:row>
      <xdr:rowOff>358589</xdr:rowOff>
    </xdr:from>
    <xdr:to>
      <xdr:col>29</xdr:col>
      <xdr:colOff>336178</xdr:colOff>
      <xdr:row>4</xdr:row>
      <xdr:rowOff>179294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2D31FBB2-6A84-0713-C684-4D0AD7EBF8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90296" y="1232648"/>
          <a:ext cx="694764" cy="69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upport@abbg.co.kr" TargetMode="External"/><Relationship Id="rId5" Type="http://schemas.openxmlformats.org/officeDocument/2006/relationships/image" Target="../media/image1.jpeg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19711-9953-432E-82F8-748F174AC2BD}">
  <sheetPr>
    <pageSetUpPr fitToPage="1"/>
  </sheetPr>
  <dimension ref="A1:AD54"/>
  <sheetViews>
    <sheetView showGridLines="0" tabSelected="1" view="pageBreakPreview" topLeftCell="A12" zoomScale="85" zoomScaleNormal="100" zoomScaleSheetLayoutView="85" zoomScalePageLayoutView="70" workbookViewId="0">
      <selection activeCell="B29" sqref="B29:AD29"/>
    </sheetView>
  </sheetViews>
  <sheetFormatPr defaultRowHeight="15" x14ac:dyDescent="0.3"/>
  <cols>
    <col min="1" max="30" width="5.625" style="2" customWidth="1"/>
    <col min="31" max="16384" width="9" style="2"/>
  </cols>
  <sheetData>
    <row r="1" spans="1:30" s="1" customFormat="1" ht="50.1" customHeight="1" x14ac:dyDescent="0.3">
      <c r="A1" s="34" t="s">
        <v>61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</row>
    <row r="2" spans="1:30" ht="20.100000000000001" customHeight="1" thickBot="1" x14ac:dyDescent="0.35">
      <c r="A2" s="33"/>
      <c r="B2" s="33"/>
      <c r="C2" s="33"/>
      <c r="V2" s="5"/>
      <c r="W2" s="5"/>
      <c r="X2" s="5"/>
      <c r="Y2" s="6"/>
      <c r="Z2" s="62"/>
      <c r="AA2" s="62"/>
      <c r="AB2" s="33"/>
      <c r="AC2" s="33"/>
      <c r="AD2" s="33"/>
    </row>
    <row r="3" spans="1:30" ht="35.1" customHeight="1" x14ac:dyDescent="0.3">
      <c r="A3" s="45" t="s">
        <v>5</v>
      </c>
      <c r="B3" s="39" t="s">
        <v>49</v>
      </c>
      <c r="C3" s="39"/>
      <c r="D3" s="48" t="s">
        <v>66</v>
      </c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36" t="s">
        <v>6</v>
      </c>
      <c r="Q3" s="39" t="s">
        <v>7</v>
      </c>
      <c r="R3" s="39"/>
      <c r="S3" s="41" t="s">
        <v>44</v>
      </c>
      <c r="T3" s="41"/>
      <c r="U3" s="41"/>
      <c r="V3" s="41"/>
      <c r="W3" s="41"/>
      <c r="X3" s="41"/>
      <c r="Y3" s="41"/>
      <c r="Z3" s="41"/>
      <c r="AA3" s="41"/>
      <c r="AB3" s="41"/>
      <c r="AC3" s="41"/>
      <c r="AD3" s="42"/>
    </row>
    <row r="4" spans="1:30" ht="35.1" customHeight="1" x14ac:dyDescent="0.3">
      <c r="A4" s="46"/>
      <c r="B4" s="40" t="s">
        <v>15</v>
      </c>
      <c r="C4" s="4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37"/>
      <c r="Q4" s="40" t="s">
        <v>15</v>
      </c>
      <c r="R4" s="40"/>
      <c r="S4" s="43" t="s">
        <v>45</v>
      </c>
      <c r="T4" s="56"/>
      <c r="U4" s="56"/>
      <c r="V4" s="56"/>
      <c r="W4" s="56"/>
      <c r="X4" s="57"/>
      <c r="Y4" s="52" t="s">
        <v>10</v>
      </c>
      <c r="Z4" s="53"/>
      <c r="AA4" s="54" t="s">
        <v>54</v>
      </c>
      <c r="AB4" s="55"/>
      <c r="AC4" s="55"/>
      <c r="AD4" s="55"/>
    </row>
    <row r="5" spans="1:30" ht="35.1" customHeight="1" x14ac:dyDescent="0.3">
      <c r="A5" s="46"/>
      <c r="B5" s="40" t="s">
        <v>52</v>
      </c>
      <c r="C5" s="4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37"/>
      <c r="Q5" s="40" t="s">
        <v>53</v>
      </c>
      <c r="R5" s="40"/>
      <c r="S5" s="20" t="s">
        <v>11</v>
      </c>
      <c r="T5" s="20"/>
      <c r="U5" s="20"/>
      <c r="V5" s="20"/>
      <c r="W5" s="20"/>
      <c r="X5" s="20"/>
      <c r="Y5" s="20"/>
      <c r="Z5" s="20"/>
      <c r="AA5" s="20"/>
      <c r="AB5" s="20"/>
      <c r="AC5" s="20"/>
      <c r="AD5" s="43"/>
    </row>
    <row r="6" spans="1:30" ht="35.1" customHeight="1" x14ac:dyDescent="0.3">
      <c r="A6" s="46"/>
      <c r="B6" s="40" t="s">
        <v>8</v>
      </c>
      <c r="C6" s="40"/>
      <c r="D6" s="5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37"/>
      <c r="Q6" s="40" t="s">
        <v>8</v>
      </c>
      <c r="R6" s="40"/>
      <c r="S6" s="20" t="s">
        <v>12</v>
      </c>
      <c r="T6" s="20"/>
      <c r="U6" s="20"/>
      <c r="V6" s="20"/>
      <c r="W6" s="20"/>
      <c r="X6" s="20"/>
      <c r="Y6" s="20"/>
      <c r="Z6" s="20"/>
      <c r="AA6" s="20"/>
      <c r="AB6" s="20"/>
      <c r="AC6" s="20"/>
      <c r="AD6" s="43"/>
    </row>
    <row r="7" spans="1:30" ht="35.1" customHeight="1" thickBot="1" x14ac:dyDescent="0.35">
      <c r="A7" s="47"/>
      <c r="B7" s="30" t="s">
        <v>9</v>
      </c>
      <c r="C7" s="30"/>
      <c r="D7" s="51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38"/>
      <c r="Q7" s="30" t="s">
        <v>9</v>
      </c>
      <c r="R7" s="30"/>
      <c r="S7" s="44" t="s">
        <v>46</v>
      </c>
      <c r="T7" s="17"/>
      <c r="U7" s="17"/>
      <c r="V7" s="17"/>
      <c r="W7" s="17"/>
      <c r="X7" s="17"/>
      <c r="Y7" s="17"/>
      <c r="Z7" s="17"/>
      <c r="AA7" s="17"/>
      <c r="AB7" s="17"/>
      <c r="AC7" s="17"/>
      <c r="AD7" s="23"/>
    </row>
    <row r="8" spans="1:30" ht="50.1" customHeight="1" thickBot="1" x14ac:dyDescent="0.35">
      <c r="A8" s="31" t="s">
        <v>3</v>
      </c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</row>
    <row r="9" spans="1:30" ht="35.1" customHeight="1" x14ac:dyDescent="0.3">
      <c r="A9" s="27" t="s">
        <v>0</v>
      </c>
      <c r="B9" s="28"/>
      <c r="C9" s="28"/>
      <c r="D9" s="28"/>
      <c r="E9" s="28"/>
      <c r="F9" s="28"/>
      <c r="G9" s="28"/>
      <c r="H9" s="28"/>
      <c r="I9" s="28" t="s">
        <v>55</v>
      </c>
      <c r="J9" s="28"/>
      <c r="K9" s="28"/>
      <c r="L9" s="28"/>
      <c r="M9" s="28"/>
      <c r="N9" s="28"/>
      <c r="O9" s="28"/>
      <c r="P9" s="28"/>
      <c r="Q9" s="28"/>
      <c r="R9" s="28"/>
      <c r="S9" s="28"/>
      <c r="T9" s="28" t="s">
        <v>56</v>
      </c>
      <c r="U9" s="28"/>
      <c r="V9" s="28" t="s">
        <v>57</v>
      </c>
      <c r="W9" s="28"/>
      <c r="X9" s="28" t="s">
        <v>16</v>
      </c>
      <c r="Y9" s="28"/>
      <c r="Z9" s="28"/>
      <c r="AA9" s="28" t="s">
        <v>1</v>
      </c>
      <c r="AB9" s="28"/>
      <c r="AC9" s="28"/>
      <c r="AD9" s="32"/>
    </row>
    <row r="10" spans="1:30" ht="69.95" customHeight="1" x14ac:dyDescent="0.3">
      <c r="A10" s="29" t="s">
        <v>62</v>
      </c>
      <c r="B10" s="8"/>
      <c r="C10" s="8"/>
      <c r="D10" s="8"/>
      <c r="E10" s="8"/>
      <c r="F10" s="8"/>
      <c r="G10" s="8"/>
      <c r="H10" s="8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0"/>
      <c r="U10" s="20"/>
      <c r="V10" s="19"/>
      <c r="W10" s="19"/>
      <c r="X10" s="18">
        <v>0</v>
      </c>
      <c r="Y10" s="18"/>
      <c r="Z10" s="18"/>
      <c r="AA10" s="18">
        <f>SUM(V10*X10)</f>
        <v>0</v>
      </c>
      <c r="AB10" s="18"/>
      <c r="AC10" s="18"/>
      <c r="AD10" s="22"/>
    </row>
    <row r="11" spans="1:30" ht="225" customHeight="1" x14ac:dyDescent="0.3">
      <c r="A11" s="29" t="s">
        <v>63</v>
      </c>
      <c r="B11" s="8"/>
      <c r="C11" s="8"/>
      <c r="D11" s="8"/>
      <c r="E11" s="8"/>
      <c r="F11" s="8"/>
      <c r="G11" s="8"/>
      <c r="H11" s="8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0"/>
      <c r="U11" s="20"/>
      <c r="V11" s="19"/>
      <c r="W11" s="19"/>
      <c r="X11" s="18">
        <v>0</v>
      </c>
      <c r="Y11" s="18"/>
      <c r="Z11" s="18"/>
      <c r="AA11" s="18">
        <f t="shared" ref="AA11:AA17" si="0">SUM(V11*X11)</f>
        <v>0</v>
      </c>
      <c r="AB11" s="18"/>
      <c r="AC11" s="18"/>
      <c r="AD11" s="22"/>
    </row>
    <row r="12" spans="1:30" ht="80.099999999999994" customHeight="1" x14ac:dyDescent="0.3">
      <c r="A12" s="29" t="s">
        <v>64</v>
      </c>
      <c r="B12" s="8"/>
      <c r="C12" s="8"/>
      <c r="D12" s="8"/>
      <c r="E12" s="8"/>
      <c r="F12" s="8"/>
      <c r="G12" s="8"/>
      <c r="H12" s="8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0"/>
      <c r="U12" s="20"/>
      <c r="V12" s="19"/>
      <c r="W12" s="19"/>
      <c r="X12" s="18">
        <v>0</v>
      </c>
      <c r="Y12" s="18"/>
      <c r="Z12" s="18"/>
      <c r="AA12" s="18">
        <f t="shared" si="0"/>
        <v>0</v>
      </c>
      <c r="AB12" s="18"/>
      <c r="AC12" s="18"/>
      <c r="AD12" s="22"/>
    </row>
    <row r="13" spans="1:30" ht="60" customHeight="1" x14ac:dyDescent="0.3">
      <c r="A13" s="29" t="s">
        <v>65</v>
      </c>
      <c r="B13" s="8"/>
      <c r="C13" s="8"/>
      <c r="D13" s="8"/>
      <c r="E13" s="8"/>
      <c r="F13" s="8"/>
      <c r="G13" s="8"/>
      <c r="H13" s="8"/>
      <c r="I13" s="24"/>
      <c r="J13" s="25"/>
      <c r="K13" s="25"/>
      <c r="L13" s="25"/>
      <c r="M13" s="25"/>
      <c r="N13" s="25"/>
      <c r="O13" s="25"/>
      <c r="P13" s="25"/>
      <c r="Q13" s="25"/>
      <c r="R13" s="25"/>
      <c r="S13" s="26"/>
      <c r="T13" s="20"/>
      <c r="U13" s="20"/>
      <c r="V13" s="19"/>
      <c r="W13" s="19"/>
      <c r="X13" s="18">
        <v>0</v>
      </c>
      <c r="Y13" s="18"/>
      <c r="Z13" s="18"/>
      <c r="AA13" s="18">
        <f t="shared" si="0"/>
        <v>0</v>
      </c>
      <c r="AB13" s="18"/>
      <c r="AC13" s="18"/>
      <c r="AD13" s="22"/>
    </row>
    <row r="14" spans="1:30" ht="35.1" customHeight="1" x14ac:dyDescent="0.3">
      <c r="A14" s="7"/>
      <c r="B14" s="8"/>
      <c r="C14" s="8"/>
      <c r="D14" s="8"/>
      <c r="E14" s="8"/>
      <c r="F14" s="8"/>
      <c r="G14" s="8"/>
      <c r="H14" s="8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0"/>
      <c r="U14" s="20"/>
      <c r="V14" s="19"/>
      <c r="W14" s="19"/>
      <c r="X14" s="18">
        <v>0</v>
      </c>
      <c r="Y14" s="18"/>
      <c r="Z14" s="18"/>
      <c r="AA14" s="18">
        <f t="shared" si="0"/>
        <v>0</v>
      </c>
      <c r="AB14" s="18"/>
      <c r="AC14" s="18"/>
      <c r="AD14" s="22"/>
    </row>
    <row r="15" spans="1:30" ht="35.1" customHeight="1" x14ac:dyDescent="0.3">
      <c r="A15" s="7"/>
      <c r="B15" s="8"/>
      <c r="C15" s="8"/>
      <c r="D15" s="8"/>
      <c r="E15" s="8"/>
      <c r="F15" s="8"/>
      <c r="G15" s="8"/>
      <c r="H15" s="8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0"/>
      <c r="U15" s="20"/>
      <c r="V15" s="19"/>
      <c r="W15" s="19"/>
      <c r="X15" s="18">
        <v>0</v>
      </c>
      <c r="Y15" s="18"/>
      <c r="Z15" s="18"/>
      <c r="AA15" s="18">
        <f t="shared" si="0"/>
        <v>0</v>
      </c>
      <c r="AB15" s="18"/>
      <c r="AC15" s="18"/>
      <c r="AD15" s="22"/>
    </row>
    <row r="16" spans="1:30" ht="35.1" customHeight="1" x14ac:dyDescent="0.3">
      <c r="A16" s="7"/>
      <c r="B16" s="8"/>
      <c r="C16" s="8"/>
      <c r="D16" s="8"/>
      <c r="E16" s="8"/>
      <c r="F16" s="8"/>
      <c r="G16" s="8"/>
      <c r="H16" s="8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0"/>
      <c r="U16" s="20"/>
      <c r="V16" s="19"/>
      <c r="W16" s="19"/>
      <c r="X16" s="18">
        <v>0</v>
      </c>
      <c r="Y16" s="18"/>
      <c r="Z16" s="18"/>
      <c r="AA16" s="18">
        <f t="shared" si="0"/>
        <v>0</v>
      </c>
      <c r="AB16" s="18"/>
      <c r="AC16" s="18"/>
      <c r="AD16" s="22"/>
    </row>
    <row r="17" spans="1:30" ht="35.1" customHeight="1" x14ac:dyDescent="0.3">
      <c r="A17" s="7"/>
      <c r="B17" s="8"/>
      <c r="C17" s="8"/>
      <c r="D17" s="8"/>
      <c r="E17" s="8"/>
      <c r="F17" s="8"/>
      <c r="G17" s="8"/>
      <c r="H17" s="8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0"/>
      <c r="U17" s="20"/>
      <c r="V17" s="19"/>
      <c r="W17" s="19"/>
      <c r="X17" s="18">
        <v>0</v>
      </c>
      <c r="Y17" s="18"/>
      <c r="Z17" s="18"/>
      <c r="AA17" s="18">
        <f t="shared" si="0"/>
        <v>0</v>
      </c>
      <c r="AB17" s="18"/>
      <c r="AC17" s="18"/>
      <c r="AD17" s="22"/>
    </row>
    <row r="18" spans="1:30" ht="35.1" customHeight="1" x14ac:dyDescent="0.3">
      <c r="A18" s="9" t="s">
        <v>2</v>
      </c>
      <c r="B18" s="10"/>
      <c r="C18" s="10"/>
      <c r="D18" s="10"/>
      <c r="E18" s="10"/>
      <c r="F18" s="10"/>
      <c r="G18" s="15">
        <f>SUM(V18*0.1)</f>
        <v>0</v>
      </c>
      <c r="H18" s="15"/>
      <c r="I18" s="15"/>
      <c r="J18" s="15"/>
      <c r="K18" s="15"/>
      <c r="L18" s="15"/>
      <c r="M18" s="15"/>
      <c r="N18" s="15"/>
      <c r="O18" s="15"/>
      <c r="P18" s="10" t="s">
        <v>1</v>
      </c>
      <c r="Q18" s="10"/>
      <c r="R18" s="10"/>
      <c r="S18" s="10"/>
      <c r="T18" s="10"/>
      <c r="U18" s="10"/>
      <c r="V18" s="15">
        <f>SUM(AA10:AD17)</f>
        <v>0</v>
      </c>
      <c r="W18" s="15"/>
      <c r="X18" s="15"/>
      <c r="Y18" s="15"/>
      <c r="Z18" s="15"/>
      <c r="AA18" s="15"/>
      <c r="AB18" s="15"/>
      <c r="AC18" s="15"/>
      <c r="AD18" s="16"/>
    </row>
    <row r="19" spans="1:30" ht="35.1" customHeight="1" x14ac:dyDescent="0.3">
      <c r="A19" s="9" t="s">
        <v>4</v>
      </c>
      <c r="B19" s="10"/>
      <c r="C19" s="10"/>
      <c r="D19" s="10"/>
      <c r="E19" s="10"/>
      <c r="F19" s="10"/>
      <c r="G19" s="11">
        <f>SUM(G18,V18)</f>
        <v>0</v>
      </c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2"/>
    </row>
    <row r="20" spans="1:30" ht="35.1" customHeight="1" thickBot="1" x14ac:dyDescent="0.35">
      <c r="A20" s="13" t="s">
        <v>58</v>
      </c>
      <c r="B20" s="14"/>
      <c r="C20" s="14"/>
      <c r="D20" s="14"/>
      <c r="E20" s="14"/>
      <c r="F20" s="14"/>
      <c r="G20" s="17" t="s">
        <v>59</v>
      </c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4" t="s">
        <v>48</v>
      </c>
      <c r="V20" s="14"/>
      <c r="W20" s="14"/>
      <c r="X20" s="14"/>
      <c r="Y20" s="17" t="s">
        <v>45</v>
      </c>
      <c r="Z20" s="17"/>
      <c r="AA20" s="17"/>
      <c r="AB20" s="17"/>
      <c r="AC20" s="17"/>
      <c r="AD20" s="23"/>
    </row>
    <row r="21" spans="1:30" ht="15" customHeight="1" thickBot="1" x14ac:dyDescent="0.35">
      <c r="A21" s="63"/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3"/>
      <c r="AC21" s="63"/>
      <c r="AD21" s="63"/>
    </row>
    <row r="22" spans="1:30" ht="24.95" customHeight="1" x14ac:dyDescent="0.3">
      <c r="A22" s="64" t="s">
        <v>50</v>
      </c>
      <c r="B22" s="65" t="s">
        <v>13</v>
      </c>
      <c r="C22" s="65"/>
      <c r="D22" s="65"/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6"/>
    </row>
    <row r="23" spans="1:30" ht="24.95" customHeight="1" x14ac:dyDescent="0.3">
      <c r="A23" s="9"/>
      <c r="B23" s="58" t="s">
        <v>47</v>
      </c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9"/>
    </row>
    <row r="24" spans="1:30" ht="24.95" customHeight="1" x14ac:dyDescent="0.3">
      <c r="A24" s="9"/>
      <c r="B24" s="58" t="s">
        <v>14</v>
      </c>
      <c r="C24" s="58"/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9"/>
    </row>
    <row r="25" spans="1:30" ht="24.95" customHeight="1" x14ac:dyDescent="0.3">
      <c r="A25" s="9"/>
      <c r="B25" s="58" t="s">
        <v>41</v>
      </c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  <c r="AB25" s="58"/>
      <c r="AC25" s="58"/>
      <c r="AD25" s="59"/>
    </row>
    <row r="26" spans="1:30" ht="24.95" customHeight="1" x14ac:dyDescent="0.3">
      <c r="A26" s="9"/>
      <c r="B26" s="58" t="s">
        <v>34</v>
      </c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  <c r="AA26" s="58"/>
      <c r="AB26" s="58"/>
      <c r="AC26" s="58"/>
      <c r="AD26" s="59"/>
    </row>
    <row r="27" spans="1:30" ht="24.95" customHeight="1" x14ac:dyDescent="0.3">
      <c r="A27" s="9"/>
      <c r="B27" s="58" t="s">
        <v>42</v>
      </c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59"/>
    </row>
    <row r="28" spans="1:30" ht="24.95" customHeight="1" x14ac:dyDescent="0.3">
      <c r="A28" s="9"/>
      <c r="B28" s="58" t="s">
        <v>35</v>
      </c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9"/>
    </row>
    <row r="29" spans="1:30" ht="24.95" customHeight="1" x14ac:dyDescent="0.3">
      <c r="A29" s="9"/>
      <c r="B29" s="58" t="s">
        <v>36</v>
      </c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  <c r="AB29" s="58"/>
      <c r="AC29" s="58"/>
      <c r="AD29" s="59"/>
    </row>
    <row r="30" spans="1:30" ht="24.95" customHeight="1" x14ac:dyDescent="0.3">
      <c r="A30" s="9"/>
      <c r="B30" s="58" t="s">
        <v>37</v>
      </c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8"/>
      <c r="AB30" s="58"/>
      <c r="AC30" s="58"/>
      <c r="AD30" s="59"/>
    </row>
    <row r="31" spans="1:30" ht="24.95" customHeight="1" thickBot="1" x14ac:dyDescent="0.35">
      <c r="A31" s="13"/>
      <c r="B31" s="67" t="s">
        <v>43</v>
      </c>
      <c r="C31" s="67"/>
      <c r="D31" s="67"/>
      <c r="E31" s="67"/>
      <c r="F31" s="67"/>
      <c r="G31" s="67"/>
      <c r="H31" s="67"/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  <c r="AA31" s="67"/>
      <c r="AB31" s="67"/>
      <c r="AC31" s="67"/>
      <c r="AD31" s="68"/>
    </row>
    <row r="32" spans="1:30" s="3" customFormat="1" ht="15" customHeight="1" x14ac:dyDescent="0.3">
      <c r="A32" s="83"/>
      <c r="B32" s="83"/>
      <c r="C32" s="83"/>
      <c r="D32" s="83"/>
      <c r="E32" s="83"/>
      <c r="F32" s="83"/>
      <c r="G32" s="83"/>
      <c r="H32" s="83"/>
      <c r="I32" s="83"/>
      <c r="J32" s="83"/>
      <c r="K32" s="83"/>
      <c r="L32" s="83"/>
      <c r="M32" s="83"/>
      <c r="N32" s="83"/>
      <c r="O32" s="83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  <c r="AA32" s="83"/>
      <c r="AB32" s="83"/>
      <c r="AC32" s="83"/>
      <c r="AD32" s="83"/>
    </row>
    <row r="33" spans="1:30" s="3" customFormat="1" ht="24.95" hidden="1" customHeight="1" x14ac:dyDescent="0.3">
      <c r="A33" s="84" t="s">
        <v>51</v>
      </c>
      <c r="B33" s="87" t="s">
        <v>17</v>
      </c>
      <c r="C33" s="87"/>
      <c r="D33" s="87"/>
      <c r="E33" s="87"/>
      <c r="F33" s="87"/>
      <c r="G33" s="87"/>
      <c r="H33" s="87"/>
      <c r="I33" s="87"/>
      <c r="J33" s="87"/>
      <c r="K33" s="87"/>
      <c r="L33" s="87"/>
      <c r="M33" s="87"/>
      <c r="N33" s="87"/>
      <c r="O33" s="87"/>
      <c r="P33" s="87"/>
      <c r="Q33" s="87"/>
      <c r="R33" s="87"/>
      <c r="S33" s="87"/>
      <c r="T33" s="87"/>
      <c r="U33" s="87"/>
      <c r="V33" s="87"/>
      <c r="W33" s="87"/>
      <c r="X33" s="87"/>
      <c r="Y33" s="87"/>
      <c r="Z33" s="87"/>
      <c r="AA33" s="87"/>
      <c r="AB33" s="87"/>
      <c r="AC33" s="87"/>
      <c r="AD33" s="88"/>
    </row>
    <row r="34" spans="1:30" s="3" customFormat="1" ht="24.95" hidden="1" customHeight="1" x14ac:dyDescent="0.3">
      <c r="A34" s="85"/>
      <c r="B34" s="89" t="s">
        <v>31</v>
      </c>
      <c r="C34" s="89"/>
      <c r="D34" s="89"/>
      <c r="E34" s="89"/>
      <c r="F34" s="89"/>
      <c r="G34" s="89"/>
      <c r="H34" s="89"/>
      <c r="I34" s="89"/>
      <c r="J34" s="89"/>
      <c r="K34" s="89"/>
      <c r="L34" s="89"/>
      <c r="M34" s="89"/>
      <c r="N34" s="89"/>
      <c r="O34" s="89"/>
      <c r="P34" s="89"/>
      <c r="Q34" s="89"/>
      <c r="R34" s="89"/>
      <c r="S34" s="89"/>
      <c r="T34" s="89"/>
      <c r="U34" s="89"/>
      <c r="V34" s="89"/>
      <c r="W34" s="89"/>
      <c r="X34" s="89"/>
      <c r="Y34" s="89"/>
      <c r="Z34" s="89"/>
      <c r="AA34" s="89"/>
      <c r="AB34" s="89"/>
      <c r="AC34" s="89"/>
      <c r="AD34" s="90"/>
    </row>
    <row r="35" spans="1:30" s="3" customFormat="1" ht="24.95" hidden="1" customHeight="1" x14ac:dyDescent="0.3">
      <c r="A35" s="85"/>
      <c r="B35" s="89" t="s">
        <v>18</v>
      </c>
      <c r="C35" s="89"/>
      <c r="D35" s="89"/>
      <c r="E35" s="89"/>
      <c r="F35" s="89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89"/>
      <c r="S35" s="89"/>
      <c r="T35" s="89"/>
      <c r="U35" s="89"/>
      <c r="V35" s="89"/>
      <c r="W35" s="89"/>
      <c r="X35" s="89"/>
      <c r="Y35" s="89"/>
      <c r="Z35" s="89"/>
      <c r="AA35" s="89"/>
      <c r="AB35" s="89"/>
      <c r="AC35" s="89"/>
      <c r="AD35" s="90"/>
    </row>
    <row r="36" spans="1:30" s="3" customFormat="1" ht="24.95" hidden="1" customHeight="1" x14ac:dyDescent="0.3">
      <c r="A36" s="85"/>
      <c r="B36" s="89" t="s">
        <v>19</v>
      </c>
      <c r="C36" s="89"/>
      <c r="D36" s="89"/>
      <c r="E36" s="89"/>
      <c r="F36" s="89"/>
      <c r="G36" s="89"/>
      <c r="H36" s="89"/>
      <c r="I36" s="89"/>
      <c r="J36" s="89"/>
      <c r="K36" s="89"/>
      <c r="L36" s="89"/>
      <c r="M36" s="89"/>
      <c r="N36" s="89"/>
      <c r="O36" s="89"/>
      <c r="P36" s="89"/>
      <c r="Q36" s="89"/>
      <c r="R36" s="89"/>
      <c r="S36" s="89"/>
      <c r="T36" s="89"/>
      <c r="U36" s="89"/>
      <c r="V36" s="89"/>
      <c r="W36" s="89"/>
      <c r="X36" s="89"/>
      <c r="Y36" s="89"/>
      <c r="Z36" s="89"/>
      <c r="AA36" s="89"/>
      <c r="AB36" s="89"/>
      <c r="AC36" s="89"/>
      <c r="AD36" s="90"/>
    </row>
    <row r="37" spans="1:30" s="3" customFormat="1" ht="24.95" hidden="1" customHeight="1" x14ac:dyDescent="0.3">
      <c r="A37" s="85"/>
      <c r="B37" s="89" t="s">
        <v>20</v>
      </c>
      <c r="C37" s="89"/>
      <c r="D37" s="89"/>
      <c r="E37" s="89"/>
      <c r="F37" s="89"/>
      <c r="G37" s="89"/>
      <c r="H37" s="89"/>
      <c r="I37" s="89"/>
      <c r="J37" s="89"/>
      <c r="K37" s="89"/>
      <c r="L37" s="89"/>
      <c r="M37" s="89"/>
      <c r="N37" s="89"/>
      <c r="O37" s="89"/>
      <c r="P37" s="89"/>
      <c r="Q37" s="89"/>
      <c r="R37" s="89"/>
      <c r="S37" s="89"/>
      <c r="T37" s="89"/>
      <c r="U37" s="89"/>
      <c r="V37" s="89"/>
      <c r="W37" s="89"/>
      <c r="X37" s="89"/>
      <c r="Y37" s="89"/>
      <c r="Z37" s="89"/>
      <c r="AA37" s="89"/>
      <c r="AB37" s="89"/>
      <c r="AC37" s="89"/>
      <c r="AD37" s="90"/>
    </row>
    <row r="38" spans="1:30" s="3" customFormat="1" ht="24.95" hidden="1" customHeight="1" thickBot="1" x14ac:dyDescent="0.35">
      <c r="A38" s="86"/>
      <c r="B38" s="91" t="s">
        <v>21</v>
      </c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  <c r="AA38" s="91"/>
      <c r="AB38" s="91"/>
      <c r="AC38" s="91"/>
      <c r="AD38" s="92"/>
    </row>
    <row r="39" spans="1:30" s="3" customFormat="1" ht="15" hidden="1" customHeight="1" x14ac:dyDescent="0.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 spans="1:30" s="3" customFormat="1" ht="30" hidden="1" customHeight="1" thickBot="1" x14ac:dyDescent="0.35">
      <c r="A40" s="93" t="s">
        <v>40</v>
      </c>
      <c r="B40" s="93"/>
      <c r="C40" s="93"/>
      <c r="D40" s="93"/>
      <c r="E40" s="93"/>
      <c r="F40" s="93"/>
      <c r="G40" s="93"/>
      <c r="H40" s="93"/>
      <c r="I40" s="93"/>
      <c r="J40" s="93"/>
      <c r="K40" s="93"/>
      <c r="L40" s="93"/>
      <c r="M40" s="93"/>
      <c r="N40" s="93"/>
      <c r="O40" s="93"/>
      <c r="P40" s="93"/>
      <c r="Q40" s="93"/>
      <c r="R40" s="93"/>
      <c r="S40" s="93"/>
      <c r="T40" s="93"/>
      <c r="U40" s="93"/>
      <c r="V40" s="93"/>
      <c r="W40" s="93"/>
      <c r="X40" s="93"/>
      <c r="Y40" s="93"/>
      <c r="Z40" s="93"/>
      <c r="AA40" s="93"/>
      <c r="AB40" s="93"/>
      <c r="AC40" s="93"/>
      <c r="AD40" s="93"/>
    </row>
    <row r="41" spans="1:30" s="3" customFormat="1" ht="24.95" hidden="1" customHeight="1" x14ac:dyDescent="0.3">
      <c r="A41" s="94" t="s">
        <v>22</v>
      </c>
      <c r="B41" s="69"/>
      <c r="C41" s="69"/>
      <c r="D41" s="69"/>
      <c r="E41" s="69"/>
      <c r="F41" s="69" t="s">
        <v>26</v>
      </c>
      <c r="G41" s="69"/>
      <c r="H41" s="69"/>
      <c r="I41" s="69"/>
      <c r="J41" s="69"/>
      <c r="K41" s="69" t="s">
        <v>27</v>
      </c>
      <c r="L41" s="69"/>
      <c r="M41" s="69"/>
      <c r="N41" s="69"/>
      <c r="O41" s="69"/>
      <c r="P41" s="69" t="s">
        <v>23</v>
      </c>
      <c r="Q41" s="69"/>
      <c r="R41" s="69"/>
      <c r="S41" s="69"/>
      <c r="T41" s="69"/>
      <c r="U41" s="69" t="s">
        <v>24</v>
      </c>
      <c r="V41" s="69"/>
      <c r="W41" s="69"/>
      <c r="X41" s="69"/>
      <c r="Y41" s="69"/>
      <c r="Z41" s="69" t="s">
        <v>25</v>
      </c>
      <c r="AA41" s="69"/>
      <c r="AB41" s="69"/>
      <c r="AC41" s="69"/>
      <c r="AD41" s="70"/>
    </row>
    <row r="42" spans="1:30" s="3" customFormat="1" ht="24.95" hidden="1" customHeight="1" x14ac:dyDescent="0.3">
      <c r="A42" s="71" t="s">
        <v>32</v>
      </c>
      <c r="B42" s="72"/>
      <c r="C42" s="72"/>
      <c r="D42" s="72"/>
      <c r="E42" s="72"/>
      <c r="F42" s="73">
        <v>463265</v>
      </c>
      <c r="G42" s="73"/>
      <c r="H42" s="73"/>
      <c r="I42" s="73"/>
      <c r="J42" s="73"/>
      <c r="K42" s="73">
        <v>9543259</v>
      </c>
      <c r="L42" s="73"/>
      <c r="M42" s="73"/>
      <c r="N42" s="73"/>
      <c r="O42" s="73"/>
      <c r="P42" s="73">
        <f>SUM(K42*1.1)</f>
        <v>10497584.9</v>
      </c>
      <c r="Q42" s="73"/>
      <c r="R42" s="73"/>
      <c r="S42" s="73"/>
      <c r="T42" s="73"/>
      <c r="U42" s="73" cm="1">
        <f t="array" ref="U42">SUM(K42:T42*0.2)</f>
        <v>4008168.7800000003</v>
      </c>
      <c r="V42" s="73"/>
      <c r="W42" s="73"/>
      <c r="X42" s="73"/>
      <c r="Y42" s="73"/>
      <c r="Z42" s="73">
        <f>SUM(F42:Y42)</f>
        <v>24512277.68</v>
      </c>
      <c r="AA42" s="73"/>
      <c r="AB42" s="73"/>
      <c r="AC42" s="73"/>
      <c r="AD42" s="81"/>
    </row>
    <row r="43" spans="1:30" s="3" customFormat="1" ht="24.95" hidden="1" customHeight="1" x14ac:dyDescent="0.3">
      <c r="A43" s="75" t="s">
        <v>29</v>
      </c>
      <c r="B43" s="76"/>
      <c r="C43" s="76"/>
      <c r="D43" s="76"/>
      <c r="E43" s="76"/>
      <c r="F43" s="79">
        <v>291414</v>
      </c>
      <c r="G43" s="79"/>
      <c r="H43" s="79"/>
      <c r="I43" s="79"/>
      <c r="J43" s="79"/>
      <c r="K43" s="79">
        <v>6003128</v>
      </c>
      <c r="L43" s="79"/>
      <c r="M43" s="79"/>
      <c r="N43" s="79"/>
      <c r="O43" s="79"/>
      <c r="P43" s="79">
        <f>SUM(K43*1.1)</f>
        <v>6603440.8000000007</v>
      </c>
      <c r="Q43" s="79"/>
      <c r="R43" s="79"/>
      <c r="S43" s="79"/>
      <c r="T43" s="79"/>
      <c r="U43" s="79" cm="1">
        <f t="array" ref="U43">SUM(K43:T43*0.2)</f>
        <v>2521313.7600000002</v>
      </c>
      <c r="V43" s="79"/>
      <c r="W43" s="79"/>
      <c r="X43" s="79"/>
      <c r="Y43" s="79"/>
      <c r="Z43" s="79">
        <f t="shared" ref="Z43:Z45" si="1">SUM(F43:Y43)</f>
        <v>15419296.560000001</v>
      </c>
      <c r="AA43" s="79"/>
      <c r="AB43" s="79"/>
      <c r="AC43" s="79"/>
      <c r="AD43" s="80"/>
    </row>
    <row r="44" spans="1:30" s="3" customFormat="1" ht="24.95" hidden="1" customHeight="1" x14ac:dyDescent="0.3">
      <c r="A44" s="71" t="s">
        <v>30</v>
      </c>
      <c r="B44" s="72"/>
      <c r="C44" s="72"/>
      <c r="D44" s="72"/>
      <c r="E44" s="72"/>
      <c r="F44" s="73">
        <v>291414</v>
      </c>
      <c r="G44" s="73"/>
      <c r="H44" s="73"/>
      <c r="I44" s="73"/>
      <c r="J44" s="73"/>
      <c r="K44" s="73">
        <v>6003128</v>
      </c>
      <c r="L44" s="73"/>
      <c r="M44" s="73"/>
      <c r="N44" s="73"/>
      <c r="O44" s="73"/>
      <c r="P44" s="73">
        <f>SUM(K44*1.1)</f>
        <v>6603440.8000000007</v>
      </c>
      <c r="Q44" s="73"/>
      <c r="R44" s="73"/>
      <c r="S44" s="73"/>
      <c r="T44" s="73"/>
      <c r="U44" s="73" cm="1">
        <f t="array" ref="U44">SUM(K44:T44*0.2)</f>
        <v>2521313.7600000002</v>
      </c>
      <c r="V44" s="73"/>
      <c r="W44" s="73"/>
      <c r="X44" s="73"/>
      <c r="Y44" s="73"/>
      <c r="Z44" s="73">
        <f t="shared" si="1"/>
        <v>15419296.560000001</v>
      </c>
      <c r="AA44" s="73"/>
      <c r="AB44" s="73"/>
      <c r="AC44" s="73"/>
      <c r="AD44" s="81"/>
    </row>
    <row r="45" spans="1:30" s="3" customFormat="1" ht="24.95" hidden="1" customHeight="1" thickBot="1" x14ac:dyDescent="0.35">
      <c r="A45" s="77" t="s">
        <v>28</v>
      </c>
      <c r="B45" s="78"/>
      <c r="C45" s="78"/>
      <c r="D45" s="78"/>
      <c r="E45" s="78"/>
      <c r="F45" s="74">
        <v>217843</v>
      </c>
      <c r="G45" s="74"/>
      <c r="H45" s="74"/>
      <c r="I45" s="74"/>
      <c r="J45" s="74"/>
      <c r="K45" s="74">
        <v>4487566</v>
      </c>
      <c r="L45" s="74"/>
      <c r="M45" s="74"/>
      <c r="N45" s="74"/>
      <c r="O45" s="74"/>
      <c r="P45" s="74">
        <f>SUM(K45*1.1)</f>
        <v>4936322.6000000006</v>
      </c>
      <c r="Q45" s="74"/>
      <c r="R45" s="74"/>
      <c r="S45" s="74"/>
      <c r="T45" s="74"/>
      <c r="U45" s="74" cm="1">
        <f t="array" ref="U45">SUM(K45:T45*0.2)</f>
        <v>1884777.7200000002</v>
      </c>
      <c r="V45" s="74"/>
      <c r="W45" s="74"/>
      <c r="X45" s="74"/>
      <c r="Y45" s="74"/>
      <c r="Z45" s="74">
        <f t="shared" si="1"/>
        <v>11526509.320000002</v>
      </c>
      <c r="AA45" s="74"/>
      <c r="AB45" s="74"/>
      <c r="AC45" s="74"/>
      <c r="AD45" s="82"/>
    </row>
    <row r="46" spans="1:30" ht="15" hidden="1" customHeight="1" x14ac:dyDescent="0.3"/>
    <row r="47" spans="1:30" ht="50.1" customHeight="1" x14ac:dyDescent="0.25">
      <c r="A47" s="60" t="s">
        <v>67</v>
      </c>
      <c r="B47" s="61"/>
      <c r="C47" s="61"/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61"/>
      <c r="AB47" s="61"/>
      <c r="AC47" s="61"/>
      <c r="AD47" s="61"/>
    </row>
    <row r="48" spans="1:30" ht="20.100000000000001" customHeight="1" x14ac:dyDescent="0.3"/>
    <row r="49" ht="20.100000000000001" customHeight="1" x14ac:dyDescent="0.3"/>
    <row r="50" ht="20.100000000000001" customHeight="1" x14ac:dyDescent="0.3"/>
    <row r="51" ht="20.100000000000001" customHeight="1" x14ac:dyDescent="0.3"/>
    <row r="52" ht="20.100000000000001" customHeight="1" x14ac:dyDescent="0.3"/>
    <row r="53" ht="20.100000000000001" customHeight="1" x14ac:dyDescent="0.3"/>
    <row r="54" ht="20.100000000000001" customHeight="1" x14ac:dyDescent="0.3"/>
  </sheetData>
  <dataConsolidate/>
  <mergeCells count="145">
    <mergeCell ref="U42:Y42"/>
    <mergeCell ref="Z42:AD42"/>
    <mergeCell ref="A32:AD32"/>
    <mergeCell ref="A33:A38"/>
    <mergeCell ref="B33:AD33"/>
    <mergeCell ref="B34:AD34"/>
    <mergeCell ref="B35:AD35"/>
    <mergeCell ref="B36:AD36"/>
    <mergeCell ref="B37:AD37"/>
    <mergeCell ref="B38:AD38"/>
    <mergeCell ref="A40:AD40"/>
    <mergeCell ref="A41:E41"/>
    <mergeCell ref="F41:J41"/>
    <mergeCell ref="K41:O41"/>
    <mergeCell ref="P41:T41"/>
    <mergeCell ref="U41:Y41"/>
    <mergeCell ref="F45:J45"/>
    <mergeCell ref="A43:E43"/>
    <mergeCell ref="A44:E44"/>
    <mergeCell ref="A45:E45"/>
    <mergeCell ref="U43:Y43"/>
    <mergeCell ref="U44:Y44"/>
    <mergeCell ref="U45:Y45"/>
    <mergeCell ref="Z43:AD43"/>
    <mergeCell ref="Z44:AD44"/>
    <mergeCell ref="Z45:AD45"/>
    <mergeCell ref="P43:T43"/>
    <mergeCell ref="P44:T44"/>
    <mergeCell ref="P45:T45"/>
    <mergeCell ref="K43:O43"/>
    <mergeCell ref="K44:O44"/>
    <mergeCell ref="K45:O45"/>
    <mergeCell ref="F43:J43"/>
    <mergeCell ref="F44:J44"/>
    <mergeCell ref="AA17:AD17"/>
    <mergeCell ref="T17:U17"/>
    <mergeCell ref="AA16:AD16"/>
    <mergeCell ref="X17:Z17"/>
    <mergeCell ref="B28:AD28"/>
    <mergeCell ref="B29:AD29"/>
    <mergeCell ref="A47:AD47"/>
    <mergeCell ref="AB2:AD2"/>
    <mergeCell ref="Z2:AA2"/>
    <mergeCell ref="A21:AD21"/>
    <mergeCell ref="A22:A31"/>
    <mergeCell ref="B22:AD22"/>
    <mergeCell ref="B23:AD23"/>
    <mergeCell ref="B24:AD24"/>
    <mergeCell ref="B25:AD25"/>
    <mergeCell ref="B26:AD26"/>
    <mergeCell ref="B27:AD27"/>
    <mergeCell ref="B30:AD30"/>
    <mergeCell ref="B31:AD31"/>
    <mergeCell ref="Z41:AD41"/>
    <mergeCell ref="A42:E42"/>
    <mergeCell ref="F42:J42"/>
    <mergeCell ref="K42:O42"/>
    <mergeCell ref="P42:T42"/>
    <mergeCell ref="V11:W11"/>
    <mergeCell ref="X10:Z10"/>
    <mergeCell ref="X11:Z11"/>
    <mergeCell ref="AA12:AD12"/>
    <mergeCell ref="T14:U14"/>
    <mergeCell ref="T11:U11"/>
    <mergeCell ref="AA11:AD11"/>
    <mergeCell ref="T12:U12"/>
    <mergeCell ref="V12:W12"/>
    <mergeCell ref="V13:W13"/>
    <mergeCell ref="X12:Z12"/>
    <mergeCell ref="X13:Z13"/>
    <mergeCell ref="AA14:AD14"/>
    <mergeCell ref="T13:U13"/>
    <mergeCell ref="AA13:AD13"/>
    <mergeCell ref="V14:W14"/>
    <mergeCell ref="X14:Z14"/>
    <mergeCell ref="AA10:AD10"/>
    <mergeCell ref="T10:U10"/>
    <mergeCell ref="V10:W10"/>
    <mergeCell ref="A1:AD1"/>
    <mergeCell ref="P3:P7"/>
    <mergeCell ref="Q3:R3"/>
    <mergeCell ref="Q4:R4"/>
    <mergeCell ref="Q5:R5"/>
    <mergeCell ref="Q6:R6"/>
    <mergeCell ref="Q7:R7"/>
    <mergeCell ref="B3:C3"/>
    <mergeCell ref="B4:C4"/>
    <mergeCell ref="B5:C5"/>
    <mergeCell ref="B6:C6"/>
    <mergeCell ref="S3:AD3"/>
    <mergeCell ref="S5:AD5"/>
    <mergeCell ref="S6:AD6"/>
    <mergeCell ref="S7:AD7"/>
    <mergeCell ref="A3:A7"/>
    <mergeCell ref="D3:O3"/>
    <mergeCell ref="D4:O4"/>
    <mergeCell ref="D5:O5"/>
    <mergeCell ref="D6:O6"/>
    <mergeCell ref="D7:O7"/>
    <mergeCell ref="Y4:Z4"/>
    <mergeCell ref="AA4:AD4"/>
    <mergeCell ref="S4:X4"/>
    <mergeCell ref="B7:C7"/>
    <mergeCell ref="A8:AD8"/>
    <mergeCell ref="V9:W9"/>
    <mergeCell ref="X9:Z9"/>
    <mergeCell ref="T9:U9"/>
    <mergeCell ref="AA9:AD9"/>
    <mergeCell ref="A2:C2"/>
    <mergeCell ref="I9:S9"/>
    <mergeCell ref="I10:S10"/>
    <mergeCell ref="I11:S11"/>
    <mergeCell ref="I12:S12"/>
    <mergeCell ref="I13:S13"/>
    <mergeCell ref="I14:S14"/>
    <mergeCell ref="A9:H9"/>
    <mergeCell ref="A10:H10"/>
    <mergeCell ref="A11:H11"/>
    <mergeCell ref="A12:H12"/>
    <mergeCell ref="A13:H13"/>
    <mergeCell ref="A14:H14"/>
    <mergeCell ref="A15:H15"/>
    <mergeCell ref="A16:H16"/>
    <mergeCell ref="A17:H17"/>
    <mergeCell ref="A19:F19"/>
    <mergeCell ref="G19:AD19"/>
    <mergeCell ref="A20:F20"/>
    <mergeCell ref="A18:F18"/>
    <mergeCell ref="G18:O18"/>
    <mergeCell ref="V18:AD18"/>
    <mergeCell ref="P18:U18"/>
    <mergeCell ref="G20:T20"/>
    <mergeCell ref="X16:Z16"/>
    <mergeCell ref="V17:W17"/>
    <mergeCell ref="V16:W16"/>
    <mergeCell ref="T16:U16"/>
    <mergeCell ref="V15:W15"/>
    <mergeCell ref="X15:Z15"/>
    <mergeCell ref="I15:S15"/>
    <mergeCell ref="I16:S16"/>
    <mergeCell ref="I17:S17"/>
    <mergeCell ref="T15:U15"/>
    <mergeCell ref="AA15:AD15"/>
    <mergeCell ref="U20:X20"/>
    <mergeCell ref="Y20:AD20"/>
  </mergeCells>
  <phoneticPr fontId="1" type="noConversion"/>
  <hyperlinks>
    <hyperlink ref="S7" r:id="rId1" xr:uid="{6ACB9A04-AFFD-4091-A811-41C3B13D8EB0}"/>
  </hyperlinks>
  <pageMargins left="0.7" right="0.7" top="0.75" bottom="0.75" header="0.3" footer="0.3"/>
  <pageSetup paperSize="9" scale="47" orientation="portrait" r:id="rId2"/>
  <headerFooter>
    <oddHeader>&amp;C
&amp;G</oddHeader>
  </headerFooter>
  <drawing r:id="rId3"/>
  <legacyDrawingHF r:id="rId4"/>
  <picture r:id="rId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BF0B43A-77D2-4D33-B165-9F989CF5C08F}">
          <x14:formula1>
            <xm:f>데이터!$A$2:$A$6</xm:f>
          </x14:formula1>
          <xm:sqref>G20</xm:sqref>
        </x14:dataValidation>
        <x14:dataValidation type="list" allowBlank="1" showInputMessage="1" showErrorMessage="1" xr:uid="{D8978813-32AE-4812-AAF2-26A1CF35A6B4}">
          <x14:formula1>
            <xm:f>데이터!$C$2:$C$4</xm:f>
          </x14:formula1>
          <xm:sqref>B31:AD31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8B388-2789-4354-8614-16D7203BB153}">
  <dimension ref="A2:C4"/>
  <sheetViews>
    <sheetView workbookViewId="0">
      <selection activeCell="A3" sqref="A3"/>
    </sheetView>
  </sheetViews>
  <sheetFormatPr defaultRowHeight="16.5" x14ac:dyDescent="0.3"/>
  <sheetData>
    <row r="2" spans="1:3" x14ac:dyDescent="0.3">
      <c r="A2" t="s">
        <v>60</v>
      </c>
      <c r="C2" t="s">
        <v>33</v>
      </c>
    </row>
    <row r="3" spans="1:3" x14ac:dyDescent="0.3">
      <c r="C3" t="s">
        <v>38</v>
      </c>
    </row>
    <row r="4" spans="1:3" x14ac:dyDescent="0.3">
      <c r="C4" t="s">
        <v>39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견적서</vt:lpstr>
      <vt:lpstr>데이터</vt:lpstr>
      <vt:lpstr>견적서!Print_Area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Yeongryul KIM</dc:creator>
  <cp:lastModifiedBy>허 윤정</cp:lastModifiedBy>
  <cp:lastPrinted>2024-03-21T05:54:49Z</cp:lastPrinted>
  <dcterms:created xsi:type="dcterms:W3CDTF">2023-03-06T15:31:47Z</dcterms:created>
  <dcterms:modified xsi:type="dcterms:W3CDTF">2025-07-14T09:19:46Z</dcterms:modified>
</cp:coreProperties>
</file>