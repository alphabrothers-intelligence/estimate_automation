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phabrothers/Downloads/"/>
    </mc:Choice>
  </mc:AlternateContent>
  <xr:revisionPtr revIDLastSave="0" documentId="13_ncr:1_{BF97BDC5-5640-6548-B72F-6396C18B8031}" xr6:coauthVersionLast="47" xr6:coauthVersionMax="47" xr10:uidLastSave="{00000000-0000-0000-0000-000000000000}"/>
  <bookViews>
    <workbookView xWindow="0" yWindow="740" windowWidth="17160" windowHeight="21600" activeTab="3" xr2:uid="{6679CA69-2CAC-46F2-8E8C-2C10DBC527F5}"/>
  </bookViews>
  <sheets>
    <sheet name="스프린트 (마케팅, 개발, 디자인)" sheetId="7" r:id="rId1"/>
    <sheet name="FLES (마케팅, 개발, 디자인)" sheetId="3" r:id="rId2"/>
    <sheet name="안르 (마케팅, 개발, 디자인)" sheetId="10" r:id="rId3"/>
    <sheet name="다름과이음 (마케팅, 개발, 디자인)" sheetId="11" r:id="rId4"/>
    <sheet name="위드앤코 (마케팅, 디자인)" sheetId="8" r:id="rId5"/>
    <sheet name="테키 (마케팅)" sheetId="14" r:id="rId6"/>
    <sheet name="이음 (특허)" sheetId="12" r:id="rId7"/>
    <sheet name="올림 (특허)" sheetId="13" r:id="rId8"/>
  </sheets>
  <definedNames>
    <definedName name="_xlnm.Print_Area" localSheetId="3">'다름과이음 (마케팅, 개발, 디자인)'!$A$1:$V$46</definedName>
    <definedName name="_xlnm.Print_Area" localSheetId="0">'스프린트 (마케팅, 개발, 디자인)'!$B$2:$K$31</definedName>
    <definedName name="_xlnm.Print_Area" localSheetId="2">'안르 (마케팅, 개발, 디자인)'!$B$2:$L$42</definedName>
    <definedName name="_xlnm.Print_Area" localSheetId="7">'올림 (특허)'!$A$1:$I$26</definedName>
    <definedName name="_xlnm.Print_Area" localSheetId="4">'위드앤코 (마케팅, 디자인)'!$B$2:$K$30</definedName>
    <definedName name="_xlnm.Print_Area" localSheetId="6">'이음 (특허)'!$A$2:$F$36</definedName>
    <definedName name="_xlnm.Print_Area" localSheetId="5">'테키 (마케팅)'!$A$1:$I$47</definedName>
    <definedName name="_xlnm.Print_Area" localSheetId="1">'FLES (마케팅, 개발, 디자인)'!$B$2:$K$32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6" i="11" l="1"/>
  <c r="V26" i="11" s="1"/>
  <c r="R25" i="11"/>
  <c r="V25" i="11" s="1"/>
  <c r="R24" i="11"/>
  <c r="V24" i="11" s="1"/>
  <c r="R23" i="11"/>
  <c r="V23" i="11" s="1"/>
  <c r="R22" i="11"/>
  <c r="V22" i="11" s="1"/>
  <c r="R15" i="11"/>
  <c r="V15" i="11" s="1"/>
  <c r="R21" i="11"/>
  <c r="V21" i="11" s="1"/>
  <c r="R20" i="11"/>
  <c r="V20" i="11" s="1"/>
  <c r="R19" i="11"/>
  <c r="V19" i="11" s="1"/>
  <c r="R18" i="11"/>
  <c r="V18" i="11" s="1"/>
  <c r="R17" i="11"/>
  <c r="V17" i="11" s="1"/>
  <c r="R13" i="11"/>
  <c r="R14" i="11"/>
  <c r="R16" i="11"/>
  <c r="H45" i="14"/>
  <c r="I33" i="14"/>
  <c r="I32" i="14"/>
  <c r="I31" i="14"/>
  <c r="I30" i="14"/>
  <c r="I27" i="14"/>
  <c r="I26" i="14"/>
  <c r="I28" i="14" s="1"/>
  <c r="I23" i="14"/>
  <c r="I24" i="14" s="1"/>
  <c r="I20" i="14"/>
  <c r="I19" i="14"/>
  <c r="I17" i="14"/>
  <c r="I18" i="14"/>
  <c r="I22" i="14"/>
  <c r="H5" i="13"/>
  <c r="E18" i="12"/>
  <c r="E24" i="12"/>
  <c r="E26" i="12" s="1"/>
  <c r="C26" i="12"/>
  <c r="D26" i="12"/>
  <c r="D8" i="14" l="1"/>
  <c r="C27" i="12"/>
  <c r="V13" i="11"/>
  <c r="V14" i="11"/>
  <c r="V16" i="11"/>
  <c r="I44" i="14" l="1"/>
  <c r="H46" i="14"/>
  <c r="V36" i="11"/>
  <c r="R36" i="11"/>
  <c r="R38" i="11" s="1"/>
  <c r="I29" i="7"/>
  <c r="D30" i="7" s="1"/>
  <c r="I29" i="8"/>
  <c r="I28" i="8"/>
  <c r="E29" i="8" s="1"/>
  <c r="I22" i="8"/>
  <c r="I20" i="8"/>
  <c r="I18" i="8"/>
  <c r="V38" i="11" l="1"/>
  <c r="R9" i="11" s="1"/>
  <c r="F30" i="7"/>
  <c r="I30" i="7" s="1"/>
  <c r="E17" i="7" s="1"/>
  <c r="J32" i="10"/>
  <c r="I32" i="10"/>
  <c r="J31" i="10"/>
  <c r="I31" i="10"/>
  <c r="I30" i="10"/>
  <c r="J30" i="10" s="1"/>
  <c r="I29" i="10"/>
  <c r="J29" i="10" s="1"/>
  <c r="J28" i="10"/>
  <c r="I28" i="10"/>
  <c r="J27" i="10"/>
  <c r="I27" i="10"/>
  <c r="I26" i="10"/>
  <c r="J26" i="10" s="1"/>
  <c r="I25" i="10"/>
  <c r="J25" i="10" s="1"/>
  <c r="J24" i="10"/>
  <c r="I24" i="10"/>
  <c r="J23" i="10"/>
  <c r="I23" i="10"/>
  <c r="I22" i="10"/>
  <c r="J22" i="10" s="1"/>
  <c r="I21" i="10"/>
  <c r="J21" i="10" s="1"/>
  <c r="I20" i="10"/>
  <c r="J20" i="10" s="1"/>
  <c r="I33" i="10" l="1"/>
  <c r="J33" i="10"/>
  <c r="I14" i="8"/>
  <c r="D16" i="10" l="1"/>
  <c r="I16" i="10" s="1"/>
</calcChain>
</file>

<file path=xl/sharedStrings.xml><?xml version="1.0" encoding="utf-8"?>
<sst xmlns="http://schemas.openxmlformats.org/spreadsheetml/2006/main" count="358" uniqueCount="335">
  <si>
    <t>견적서</t>
  </si>
  <si>
    <t>Date</t>
  </si>
  <si>
    <t>From</t>
  </si>
  <si>
    <t>Address</t>
  </si>
  <si>
    <t>서울시 강서구 마곡중앙로 161-8, A동 614호</t>
  </si>
  <si>
    <t>김우현</t>
  </si>
  <si>
    <t>Mobile</t>
  </si>
  <si>
    <t>To</t>
  </si>
  <si>
    <t>Project</t>
  </si>
  <si>
    <t>EA</t>
  </si>
  <si>
    <t>COST / 1EA</t>
  </si>
  <si>
    <t>Total</t>
  </si>
  <si>
    <t>Memo</t>
  </si>
  <si>
    <t>총 견적</t>
  </si>
  <si>
    <t>일금</t>
  </si>
  <si>
    <t>\</t>
  </si>
  <si>
    <t>제시금액 (부가세 포함)</t>
  </si>
  <si>
    <t>상기 내용의 견적서 전달드립니다.</t>
  </si>
  <si>
    <r>
      <rPr>
        <sz val="11"/>
        <color theme="1"/>
        <rFont val="맑은 고딕"/>
        <family val="2"/>
        <charset val="129"/>
      </rPr>
      <t>프로젝트매니징</t>
    </r>
  </si>
  <si>
    <r>
      <rPr>
        <sz val="11"/>
        <color theme="1"/>
        <rFont val="맑은 고딕"/>
        <family val="2"/>
        <charset val="129"/>
      </rPr>
      <t>특급</t>
    </r>
  </si>
  <si>
    <r>
      <rPr>
        <sz val="11"/>
        <color theme="1"/>
        <rFont val="맑은 고딕"/>
        <family val="2"/>
        <charset val="129"/>
      </rPr>
      <t>고급</t>
    </r>
  </si>
  <si>
    <r>
      <rPr>
        <sz val="11"/>
        <color theme="1"/>
        <rFont val="맑은 고딕"/>
        <family val="2"/>
        <charset val="129"/>
      </rPr>
      <t>중급</t>
    </r>
  </si>
  <si>
    <r>
      <rPr>
        <b/>
        <sz val="12"/>
        <color theme="1"/>
        <rFont val="맑은 고딕"/>
        <family val="3"/>
        <charset val="129"/>
      </rPr>
      <t>견적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일시</t>
    </r>
  </si>
  <si>
    <r>
      <rPr>
        <b/>
        <sz val="14"/>
        <color theme="1"/>
        <rFont val="맑은 고딕"/>
        <family val="3"/>
        <charset val="129"/>
      </rPr>
      <t>공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급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자</t>
    </r>
  </si>
  <si>
    <t>유아이 스튜디오</t>
  </si>
  <si>
    <r>
      <rPr>
        <sz val="11"/>
        <color theme="1"/>
        <rFont val="맑은 고딕"/>
        <family val="2"/>
        <charset val="129"/>
      </rPr>
      <t>초급</t>
    </r>
  </si>
  <si>
    <r>
      <rPr>
        <b/>
        <sz val="12"/>
        <color theme="1"/>
        <rFont val="맑은 고딕"/>
        <family val="3"/>
        <charset val="129"/>
      </rPr>
      <t>프로젝트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명</t>
    </r>
  </si>
  <si>
    <r>
      <rPr>
        <b/>
        <sz val="14"/>
        <color theme="1"/>
        <rFont val="맑은 고딕"/>
        <family val="3"/>
        <charset val="129"/>
      </rPr>
      <t>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자</t>
    </r>
  </si>
  <si>
    <r>
      <rPr>
        <b/>
        <sz val="12"/>
        <color theme="1"/>
        <rFont val="맑은 고딕"/>
        <family val="3"/>
        <charset val="129"/>
      </rPr>
      <t>개발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기간</t>
    </r>
  </si>
  <si>
    <r>
      <rPr>
        <b/>
        <sz val="14"/>
        <color theme="1"/>
        <rFont val="맑은 고딕"/>
        <family val="3"/>
        <charset val="129"/>
      </rPr>
      <t>사업자등록번호</t>
    </r>
  </si>
  <si>
    <t>542-14-01209</t>
  </si>
  <si>
    <r>
      <rPr>
        <b/>
        <sz val="12"/>
        <color theme="1"/>
        <rFont val="맑은 고딕"/>
        <family val="3"/>
        <charset val="129"/>
      </rPr>
      <t>견적유효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기간</t>
    </r>
  </si>
  <si>
    <r>
      <rPr>
        <sz val="12"/>
        <color theme="1"/>
        <rFont val="맑은 고딕"/>
        <family val="3"/>
        <charset val="129"/>
      </rPr>
      <t>견적일로부터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맑은 고딕"/>
        <family val="3"/>
        <charset val="129"/>
      </rPr>
      <t>주</t>
    </r>
  </si>
  <si>
    <r>
      <rPr>
        <b/>
        <sz val="14"/>
        <color theme="1"/>
        <rFont val="맑은 고딕"/>
        <family val="3"/>
        <charset val="129"/>
      </rPr>
      <t>소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재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지</t>
    </r>
  </si>
  <si>
    <r>
      <t xml:space="preserve">(08591) </t>
    </r>
    <r>
      <rPr>
        <sz val="11"/>
        <color theme="1"/>
        <rFont val="맑은 고딕"/>
        <family val="2"/>
        <charset val="129"/>
      </rPr>
      <t>서울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금천구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가산디지털</t>
    </r>
    <r>
      <rPr>
        <sz val="11"/>
        <color theme="1"/>
        <rFont val="Arial"/>
        <family val="2"/>
      </rPr>
      <t>1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Arial"/>
        <family val="2"/>
      </rPr>
      <t xml:space="preserve"> 30 (</t>
    </r>
    <r>
      <rPr>
        <sz val="11"/>
        <color theme="1"/>
        <rFont val="맑은 고딕"/>
        <family val="2"/>
        <charset val="129"/>
      </rPr>
      <t>가산동</t>
    </r>
    <r>
      <rPr>
        <sz val="11"/>
        <color theme="1"/>
        <rFont val="Arial"/>
        <family val="2"/>
      </rPr>
      <t>) 1401</t>
    </r>
    <r>
      <rPr>
        <sz val="11"/>
        <color theme="1"/>
        <rFont val="맑은 고딕"/>
        <family val="2"/>
        <charset val="129"/>
      </rPr>
      <t>호</t>
    </r>
  </si>
  <si>
    <r>
      <rPr>
        <b/>
        <sz val="12"/>
        <color theme="1"/>
        <rFont val="맑은 고딕"/>
        <family val="3"/>
        <charset val="129"/>
      </rPr>
      <t>계약금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납기일</t>
    </r>
  </si>
  <si>
    <r>
      <rPr>
        <sz val="12"/>
        <color theme="1"/>
        <rFont val="맑은 고딕"/>
        <family val="3"/>
        <charset val="129"/>
      </rPr>
      <t>견적유효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기간과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동일</t>
    </r>
  </si>
  <si>
    <r>
      <rPr>
        <b/>
        <sz val="14"/>
        <color theme="1"/>
        <rFont val="맑은 고딕"/>
        <family val="3"/>
        <charset val="129"/>
      </rPr>
      <t>계약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담당자</t>
    </r>
  </si>
  <si>
    <r>
      <rPr>
        <sz val="12"/>
        <color theme="1"/>
        <rFont val="맑은 고딕"/>
        <family val="3"/>
        <charset val="129"/>
      </rPr>
      <t>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경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민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디렉터</t>
    </r>
  </si>
  <si>
    <r>
      <rPr>
        <sz val="11"/>
        <color rgb="FF333333"/>
        <rFont val="돋움"/>
        <family val="3"/>
        <charset val="129"/>
      </rPr>
      <t>특급기술자</t>
    </r>
  </si>
  <si>
    <t>406342  </t>
  </si>
  <si>
    <r>
      <rPr>
        <b/>
        <sz val="12"/>
        <color theme="1"/>
        <rFont val="맑은 고딕"/>
        <family val="3"/>
        <charset val="129"/>
      </rPr>
      <t>유지보수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기간</t>
    </r>
  </si>
  <si>
    <r>
      <rPr>
        <sz val="12"/>
        <color theme="1"/>
        <rFont val="맑은 고딕"/>
        <family val="3"/>
        <charset val="129"/>
      </rPr>
      <t>최종완료일로부터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맑은 고딕"/>
        <family val="3"/>
        <charset val="129"/>
      </rPr>
      <t>년</t>
    </r>
  </si>
  <si>
    <r>
      <rPr>
        <b/>
        <sz val="14"/>
        <color theme="1"/>
        <rFont val="맑은 고딕"/>
        <family val="3"/>
        <charset val="129"/>
      </rPr>
      <t>이메일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주소</t>
    </r>
  </si>
  <si>
    <t>cs@go-sprint.co.kr</t>
  </si>
  <si>
    <r>
      <rPr>
        <sz val="11"/>
        <color rgb="FF333333"/>
        <rFont val="돋움"/>
        <family val="3"/>
        <charset val="129"/>
      </rPr>
      <t>고급기술자</t>
    </r>
  </si>
  <si>
    <t>305433  </t>
  </si>
  <si>
    <r>
      <rPr>
        <b/>
        <sz val="12"/>
        <color theme="1"/>
        <rFont val="맑은 고딕"/>
        <family val="3"/>
        <charset val="129"/>
      </rPr>
      <t>제안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금액</t>
    </r>
    <r>
      <rPr>
        <b/>
        <sz val="12"/>
        <color theme="1"/>
        <rFont val="Arial"/>
        <family val="2"/>
      </rPr>
      <t xml:space="preserve"> 
(</t>
    </r>
    <r>
      <rPr>
        <b/>
        <sz val="12"/>
        <color theme="1"/>
        <rFont val="맑은 고딕"/>
        <family val="3"/>
        <charset val="129"/>
      </rPr>
      <t>부가세포함</t>
    </r>
    <r>
      <rPr>
        <b/>
        <sz val="12"/>
        <color theme="1"/>
        <rFont val="Arial"/>
        <family val="2"/>
      </rPr>
      <t>)</t>
    </r>
  </si>
  <si>
    <r>
      <rPr>
        <b/>
        <sz val="14"/>
        <color theme="1"/>
        <rFont val="맑은 고딕"/>
        <family val="3"/>
        <charset val="129"/>
      </rPr>
      <t>전화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번호</t>
    </r>
  </si>
  <si>
    <t>1833-8361</t>
  </si>
  <si>
    <r>
      <rPr>
        <sz val="11"/>
        <color rgb="FF333333"/>
        <rFont val="돋움"/>
        <family val="3"/>
        <charset val="129"/>
      </rPr>
      <t>중급기술자</t>
    </r>
  </si>
  <si>
    <t>239748  </t>
  </si>
  <si>
    <r>
      <rPr>
        <b/>
        <sz val="14"/>
        <color theme="1"/>
        <rFont val="맑은 고딕"/>
        <family val="3"/>
        <charset val="129"/>
      </rPr>
      <t>팩스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번호</t>
    </r>
  </si>
  <si>
    <t>02-6455-6271</t>
  </si>
  <si>
    <r>
      <rPr>
        <sz val="11"/>
        <color rgb="FF333333"/>
        <rFont val="돋움"/>
        <family val="3"/>
        <charset val="129"/>
      </rPr>
      <t>초급기술자</t>
    </r>
  </si>
  <si>
    <t>215681  </t>
  </si>
  <si>
    <r>
      <t xml:space="preserve">1. </t>
    </r>
    <r>
      <rPr>
        <b/>
        <sz val="16"/>
        <color theme="1"/>
        <rFont val="맑은 고딕"/>
        <family val="3"/>
        <charset val="129"/>
      </rPr>
      <t>개발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상세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내역</t>
    </r>
  </si>
  <si>
    <r>
      <rPr>
        <b/>
        <sz val="12"/>
        <color theme="1"/>
        <rFont val="맑은 고딕"/>
        <family val="3"/>
        <charset val="129"/>
      </rPr>
      <t>항목</t>
    </r>
  </si>
  <si>
    <r>
      <rPr>
        <b/>
        <sz val="12"/>
        <color theme="1"/>
        <rFont val="맑은 고딕"/>
        <family val="3"/>
        <charset val="129"/>
      </rPr>
      <t>주요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세부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항목</t>
    </r>
  </si>
  <si>
    <r>
      <rPr>
        <b/>
        <sz val="12"/>
        <color theme="1"/>
        <rFont val="맑은 고딕"/>
        <family val="3"/>
        <charset val="129"/>
      </rPr>
      <t>투입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인력</t>
    </r>
  </si>
  <si>
    <r>
      <rPr>
        <b/>
        <sz val="12"/>
        <color theme="1"/>
        <rFont val="맑은 고딕"/>
        <family val="3"/>
        <charset val="129"/>
      </rPr>
      <t>금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액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맑은 고딕"/>
        <family val="3"/>
        <charset val="129"/>
      </rPr>
      <t>원</t>
    </r>
    <r>
      <rPr>
        <b/>
        <sz val="12"/>
        <color theme="1"/>
        <rFont val="Arial"/>
        <family val="2"/>
      </rPr>
      <t>)</t>
    </r>
  </si>
  <si>
    <r>
      <rPr>
        <b/>
        <sz val="12"/>
        <color theme="1"/>
        <rFont val="맑은 고딕"/>
        <family val="3"/>
        <charset val="129"/>
      </rPr>
      <t>비고</t>
    </r>
  </si>
  <si>
    <r>
      <rPr>
        <b/>
        <sz val="12"/>
        <color theme="1"/>
        <rFont val="맑은 고딕"/>
        <family val="3"/>
        <charset val="129"/>
      </rPr>
      <t>투입</t>
    </r>
    <r>
      <rPr>
        <b/>
        <sz val="12"/>
        <color theme="1"/>
        <rFont val="Arial"/>
        <family val="2"/>
      </rPr>
      <t xml:space="preserve"> M/M</t>
    </r>
  </si>
  <si>
    <r>
      <rPr>
        <b/>
        <sz val="12"/>
        <color theme="1"/>
        <rFont val="맑은 고딕"/>
        <family val="3"/>
        <charset val="129"/>
      </rPr>
      <t>기술수준</t>
    </r>
  </si>
  <si>
    <r>
      <rPr>
        <b/>
        <sz val="12"/>
        <color theme="1"/>
        <rFont val="맑은 고딕"/>
        <family val="3"/>
        <charset val="129"/>
      </rPr>
      <t>기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간</t>
    </r>
    <r>
      <rPr>
        <b/>
        <sz val="12"/>
        <color theme="1"/>
        <rFont val="Arial"/>
        <family val="2"/>
      </rPr>
      <t>(day)</t>
    </r>
  </si>
  <si>
    <r>
      <rPr>
        <b/>
        <sz val="12"/>
        <color theme="1"/>
        <rFont val="맑은 고딕"/>
        <family val="3"/>
        <charset val="129"/>
      </rPr>
      <t>총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계</t>
    </r>
    <r>
      <rPr>
        <b/>
        <sz val="12"/>
        <color theme="1"/>
        <rFont val="Arial"/>
        <family val="2"/>
      </rPr>
      <t xml:space="preserve"> (VAT</t>
    </r>
    <r>
      <rPr>
        <b/>
        <sz val="12"/>
        <color theme="1"/>
        <rFont val="맑은 고딕"/>
        <family val="3"/>
        <charset val="129"/>
      </rPr>
      <t>제외</t>
    </r>
    <r>
      <rPr>
        <b/>
        <sz val="12"/>
        <color theme="1"/>
        <rFont val="Arial"/>
        <family val="2"/>
      </rPr>
      <t>)</t>
    </r>
  </si>
  <si>
    <r>
      <rPr>
        <b/>
        <sz val="12"/>
        <color theme="1"/>
        <rFont val="맑은 고딕"/>
        <family val="3"/>
        <charset val="129"/>
      </rPr>
      <t>공급가</t>
    </r>
  </si>
  <si>
    <r>
      <rPr>
        <b/>
        <sz val="12"/>
        <color theme="1"/>
        <rFont val="맑은 고딕"/>
        <family val="3"/>
        <charset val="129"/>
      </rPr>
      <t>부가가치세</t>
    </r>
    <r>
      <rPr>
        <b/>
        <sz val="12"/>
        <color theme="1"/>
        <rFont val="Arial"/>
        <family val="2"/>
      </rPr>
      <t xml:space="preserve"> : VAT</t>
    </r>
  </si>
  <si>
    <t>소계</t>
  </si>
  <si>
    <r>
      <rPr>
        <sz val="12"/>
        <color theme="1"/>
        <rFont val="맑은 고딕"/>
        <family val="3"/>
        <charset val="129"/>
      </rPr>
      <t>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보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양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대표</t>
    </r>
    <r>
      <rPr>
        <sz val="12"/>
        <color theme="1"/>
        <rFont val="Arial"/>
        <family val="3"/>
      </rPr>
      <t xml:space="preserve">   </t>
    </r>
    <r>
      <rPr>
        <sz val="12"/>
        <color theme="1"/>
        <rFont val="Arial"/>
        <family val="2"/>
      </rPr>
      <t xml:space="preserve">                                                        (</t>
    </r>
    <r>
      <rPr>
        <sz val="12"/>
        <color theme="1"/>
        <rFont val="돋움"/>
        <family val="2"/>
        <charset val="129"/>
      </rPr>
      <t>인)</t>
    </r>
    <r>
      <rPr>
        <sz val="12"/>
        <color theme="1"/>
        <rFont val="Arial"/>
        <family val="2"/>
      </rPr>
      <t xml:space="preserve">          </t>
    </r>
    <phoneticPr fontId="5" type="noConversion"/>
  </si>
  <si>
    <t>견적 일시</t>
  </si>
  <si>
    <t>공 급 자</t>
  </si>
  <si>
    <t>주식회사 위드앤코</t>
  </si>
  <si>
    <t>프로젝트 명</t>
  </si>
  <si>
    <t>대 표 자</t>
  </si>
  <si>
    <t>업무 기간</t>
  </si>
  <si>
    <t>사업자등록번호</t>
  </si>
  <si>
    <t>105-87-80260</t>
  </si>
  <si>
    <t>견적유효 기간</t>
  </si>
  <si>
    <t>소 재 지</t>
  </si>
  <si>
    <t>서울 강남구</t>
  </si>
  <si>
    <t>계약금 납기일</t>
  </si>
  <si>
    <t>계약 담당자</t>
  </si>
  <si>
    <t>최인영 프로</t>
  </si>
  <si>
    <t>유지보수 기간</t>
  </si>
  <si>
    <t>이메일 주소</t>
  </si>
  <si>
    <t>cjy@withnco.com</t>
  </si>
  <si>
    <t>전화 번호</t>
  </si>
  <si>
    <t>02-565-3670</t>
  </si>
  <si>
    <t>항목</t>
  </si>
  <si>
    <t>금 액(원)</t>
  </si>
  <si>
    <t>비고</t>
  </si>
  <si>
    <t>하기 상세 내역에 따라 견적을 드립니다.</t>
    <phoneticPr fontId="5" type="noConversion"/>
  </si>
  <si>
    <t>제안금액 (부가세포함)</t>
    <phoneticPr fontId="5" type="noConversion"/>
  </si>
  <si>
    <t>합 계(부가세 포함)</t>
    <phoneticPr fontId="5" type="noConversion"/>
  </si>
  <si>
    <t>합 계 (VAT제외)</t>
    <phoneticPr fontId="5" type="noConversion"/>
  </si>
  <si>
    <t>부가세(VAT)</t>
    <phoneticPr fontId="5" type="noConversion"/>
  </si>
  <si>
    <t>견적 세부 내용</t>
    <phoneticPr fontId="5" type="noConversion"/>
  </si>
  <si>
    <t>소요기간</t>
    <phoneticPr fontId="5" type="noConversion"/>
  </si>
  <si>
    <t>수량</t>
    <phoneticPr fontId="5" type="noConversion"/>
  </si>
  <si>
    <t>단가</t>
    <phoneticPr fontId="5" type="noConversion"/>
  </si>
  <si>
    <t>견적서</t>
    <phoneticPr fontId="5" type="noConversion"/>
  </si>
  <si>
    <t>견적서</t>
    <phoneticPr fontId="16" type="noConversion"/>
  </si>
  <si>
    <t>안르</t>
    <phoneticPr fontId="16" type="noConversion"/>
  </si>
  <si>
    <t>대표</t>
    <phoneticPr fontId="16" type="noConversion"/>
  </si>
  <si>
    <t>등록번호</t>
    <phoneticPr fontId="16" type="noConversion"/>
  </si>
  <si>
    <t>397-05-01607</t>
    <phoneticPr fontId="16" type="noConversion"/>
  </si>
  <si>
    <t>사업장</t>
    <phoneticPr fontId="16" type="noConversion"/>
  </si>
  <si>
    <t>경기도 용인시 처인구 양지면 남평로199번길 45</t>
    <phoneticPr fontId="16" type="noConversion"/>
  </si>
  <si>
    <t xml:space="preserve">이 메 일 : </t>
    <phoneticPr fontId="16" type="noConversion"/>
  </si>
  <si>
    <t>연락처</t>
    <phoneticPr fontId="16" type="noConversion"/>
  </si>
  <si>
    <t>010-5905-5530</t>
    <phoneticPr fontId="16" type="noConversion"/>
  </si>
  <si>
    <t>담당자</t>
    <phoneticPr fontId="16" type="noConversion"/>
  </si>
  <si>
    <t>아래와 같이 견적합니다.</t>
    <phoneticPr fontId="16" type="noConversion"/>
  </si>
  <si>
    <t>이메일</t>
    <phoneticPr fontId="16" type="noConversion"/>
  </si>
  <si>
    <t>합계금액
(세액포함)</t>
    <phoneticPr fontId="16" type="noConversion"/>
  </si>
  <si>
    <t>품명</t>
    <phoneticPr fontId="16" type="noConversion"/>
  </si>
  <si>
    <t>규격/단위</t>
    <phoneticPr fontId="16" type="noConversion"/>
  </si>
  <si>
    <t>수량</t>
    <phoneticPr fontId="16" type="noConversion"/>
  </si>
  <si>
    <t>단가</t>
    <phoneticPr fontId="16" type="noConversion"/>
  </si>
  <si>
    <t>공급가액</t>
    <phoneticPr fontId="16" type="noConversion"/>
  </si>
  <si>
    <t>세액</t>
    <phoneticPr fontId="16" type="noConversion"/>
  </si>
  <si>
    <t>비고</t>
    <phoneticPr fontId="16" type="noConversion"/>
  </si>
  <si>
    <t>합계</t>
    <phoneticPr fontId="16" type="noConversion"/>
  </si>
  <si>
    <t>견적조건</t>
    <phoneticPr fontId="16" type="noConversion"/>
  </si>
  <si>
    <t xml:space="preserve"> 1. 납품기한 : 추후협의</t>
    <phoneticPr fontId="16" type="noConversion"/>
  </si>
  <si>
    <t xml:space="preserve"> 2. 인도방법 : 디지털 파일 전송</t>
    <phoneticPr fontId="16" type="noConversion"/>
  </si>
  <si>
    <t xml:space="preserve"> 4. 대금 지불조건 : 선금 50%, 잔금 50%, 지불조건 협의 가능</t>
    <phoneticPr fontId="16" type="noConversion"/>
  </si>
  <si>
    <t>견적일로부터 1주</t>
    <phoneticPr fontId="5" type="noConversion"/>
  </si>
  <si>
    <t>약 60일</t>
    <phoneticPr fontId="5" type="noConversion"/>
  </si>
  <si>
    <t>잔금 100%</t>
    <phoneticPr fontId="5" type="noConversion"/>
  </si>
  <si>
    <t>최종완료일로부터 1개월</t>
    <phoneticPr fontId="5" type="noConversion"/>
  </si>
  <si>
    <t>니그나스 광고 마케팅</t>
    <phoneticPr fontId="5" type="noConversion"/>
  </si>
  <si>
    <t>제품 촬영</t>
    <phoneticPr fontId="5" type="noConversion"/>
  </si>
  <si>
    <t>언론 홍보</t>
    <phoneticPr fontId="5" type="noConversion"/>
  </si>
  <si>
    <t>SNS 마케팅</t>
    <phoneticPr fontId="5" type="noConversion"/>
  </si>
  <si>
    <t>상세페이지 제작</t>
    <phoneticPr fontId="5" type="noConversion"/>
  </si>
  <si>
    <t>스튜디오 대관</t>
    <phoneticPr fontId="5" type="noConversion"/>
  </si>
  <si>
    <t>모델 섭외</t>
    <phoneticPr fontId="5" type="noConversion"/>
  </si>
  <si>
    <t>사진 촬영/편집</t>
    <phoneticPr fontId="5" type="noConversion"/>
  </si>
  <si>
    <t>영상 촬영/편집</t>
    <phoneticPr fontId="5" type="noConversion"/>
  </si>
  <si>
    <t>원고작성</t>
    <phoneticPr fontId="5" type="noConversion"/>
  </si>
  <si>
    <t>원고송출</t>
    <phoneticPr fontId="5" type="noConversion"/>
  </si>
  <si>
    <t>인스타그램 세팅</t>
    <phoneticPr fontId="5" type="noConversion"/>
  </si>
  <si>
    <t>인스타그램 운영</t>
    <phoneticPr fontId="5" type="noConversion"/>
  </si>
  <si>
    <t>상세페이지 기획</t>
    <phoneticPr fontId="5" type="noConversion"/>
  </si>
  <si>
    <t>상세페이지 디자인</t>
    <phoneticPr fontId="5" type="noConversion"/>
  </si>
  <si>
    <t>Person in charge</t>
    <phoneticPr fontId="5" type="noConversion"/>
  </si>
  <si>
    <t>(인)</t>
    <phoneticPr fontId="5" type="noConversion"/>
  </si>
  <si>
    <t>㈜에프엘이에스</t>
    <phoneticPr fontId="5" type="noConversion"/>
  </si>
  <si>
    <t>010-5068-1090</t>
    <phoneticPr fontId="5" type="noConversion"/>
  </si>
  <si>
    <t xml:space="preserve"> 3. 견적 유효기간 : 견적일로부터 14일간</t>
    <phoneticPr fontId="16" type="noConversion"/>
  </si>
  <si>
    <t>WEB 개발</t>
    <phoneticPr fontId="5" type="noConversion"/>
  </si>
  <si>
    <t>향유 홈페이지 개발</t>
    <phoneticPr fontId="5" type="noConversion"/>
  </si>
  <si>
    <t>중</t>
    <phoneticPr fontId="5" type="noConversion"/>
  </si>
  <si>
    <t>주식회사 향유 이찬미 대표 귀하</t>
    <phoneticPr fontId="5" type="noConversion"/>
  </si>
  <si>
    <t>웹개발</t>
    <phoneticPr fontId="5" type="noConversion"/>
  </si>
  <si>
    <t>1. 도메인 세팅</t>
    <phoneticPr fontId="5" type="noConversion"/>
  </si>
  <si>
    <t xml:space="preserve"> - 도메인 연결 작업</t>
    <phoneticPr fontId="5" type="noConversion"/>
  </si>
  <si>
    <t>2. 호스팅 세팅</t>
    <phoneticPr fontId="5" type="noConversion"/>
  </si>
  <si>
    <t xml:space="preserve"> - 웹호스팅</t>
    <phoneticPr fontId="5" type="noConversion"/>
  </si>
  <si>
    <t>3. 솔루션 웹 개발</t>
    <phoneticPr fontId="5" type="noConversion"/>
  </si>
  <si>
    <t xml:space="preserve"> - 메인페이지 및 서브페이지</t>
    <phoneticPr fontId="5" type="noConversion"/>
  </si>
  <si>
    <t xml:space="preserve"> - PC &amp; Mobile 대응</t>
    <phoneticPr fontId="5" type="noConversion"/>
  </si>
  <si>
    <t>육백오십만원 (부가세 별도)</t>
    <phoneticPr fontId="5" type="noConversion"/>
  </si>
  <si>
    <t>명  길  례      (인)</t>
    <phoneticPr fontId="16" type="noConversion"/>
  </si>
  <si>
    <t>2022년 12월 06일 (화)</t>
    <phoneticPr fontId="16" type="noConversion"/>
  </si>
  <si>
    <t>향유 귀하</t>
    <phoneticPr fontId="16" type="noConversion"/>
  </si>
  <si>
    <t>김수현 대표님</t>
    <phoneticPr fontId="16" type="noConversion"/>
  </si>
  <si>
    <t>견 적 명 : 향유 홈페이지 제작 의뢰</t>
    <phoneticPr fontId="16" type="noConversion"/>
  </si>
  <si>
    <t>명길례 대표</t>
    <phoneticPr fontId="5" type="noConversion"/>
  </si>
  <si>
    <t>mg15030@naver.com</t>
    <phoneticPr fontId="5" type="noConversion"/>
  </si>
  <si>
    <t>연 락 처 : 010-7646-7146</t>
    <phoneticPr fontId="16" type="noConversion"/>
  </si>
  <si>
    <t>홈페이지</t>
    <phoneticPr fontId="5" type="noConversion"/>
  </si>
  <si>
    <t>기획</t>
    <phoneticPr fontId="5" type="noConversion"/>
  </si>
  <si>
    <t>디자인</t>
    <phoneticPr fontId="5" type="noConversion"/>
  </si>
  <si>
    <t>개발</t>
    <phoneticPr fontId="5" type="noConversion"/>
  </si>
  <si>
    <r>
      <rPr>
        <sz val="12"/>
        <color theme="1"/>
        <rFont val="맑은 고딕"/>
        <family val="3"/>
        <charset val="129"/>
      </rPr>
      <t>약</t>
    </r>
    <r>
      <rPr>
        <sz val="12"/>
        <color theme="1"/>
        <rFont val="Arial"/>
        <family val="2"/>
      </rPr>
      <t xml:space="preserve"> 12</t>
    </r>
    <r>
      <rPr>
        <sz val="12"/>
        <color theme="1"/>
        <rFont val="맑은 고딕"/>
        <family val="3"/>
        <charset val="129"/>
      </rPr>
      <t>주</t>
    </r>
    <phoneticPr fontId="5" type="noConversion"/>
  </si>
  <si>
    <t>WEB 기획</t>
    <phoneticPr fontId="5" type="noConversion"/>
  </si>
  <si>
    <t>PM (프로젝트 전체 관리자)</t>
    <phoneticPr fontId="5" type="noConversion"/>
  </si>
  <si>
    <t>메인, 서브페이지 디자인</t>
    <phoneticPr fontId="5" type="noConversion"/>
  </si>
  <si>
    <t>디자인파일 제공</t>
    <phoneticPr fontId="5" type="noConversion"/>
  </si>
  <si>
    <t>WEB 디자인</t>
    <phoneticPr fontId="5" type="noConversion"/>
  </si>
  <si>
    <t>도메인 세팅</t>
    <phoneticPr fontId="5" type="noConversion"/>
  </si>
  <si>
    <t>호스팅 세팅</t>
    <phoneticPr fontId="5" type="noConversion"/>
  </si>
  <si>
    <t>PG사 연결, 파비콘 설정</t>
    <phoneticPr fontId="5" type="noConversion"/>
  </si>
  <si>
    <t>고</t>
    <phoneticPr fontId="5" type="noConversion"/>
  </si>
  <si>
    <t>김 건 웅 대표                               (인)</t>
    <phoneticPr fontId="5" type="noConversion"/>
  </si>
  <si>
    <t xml:space="preserve"> </t>
    <phoneticPr fontId="62" type="noConversion"/>
  </si>
  <si>
    <t>기타</t>
    <phoneticPr fontId="62" type="noConversion"/>
  </si>
  <si>
    <t>최종 합계</t>
    <phoneticPr fontId="62" type="noConversion"/>
  </si>
  <si>
    <t>합계</t>
    <phoneticPr fontId="62" type="noConversion"/>
  </si>
  <si>
    <t xml:space="preserve">세액 </t>
    <phoneticPr fontId="62" type="noConversion"/>
  </si>
  <si>
    <t xml:space="preserve">공급가액 </t>
    <phoneticPr fontId="62" type="noConversion"/>
  </si>
  <si>
    <t>단가</t>
    <phoneticPr fontId="62" type="noConversion"/>
  </si>
  <si>
    <t>수량</t>
    <phoneticPr fontId="62" type="noConversion"/>
  </si>
  <si>
    <t>투입 인력</t>
    <phoneticPr fontId="62" type="noConversion"/>
  </si>
  <si>
    <t>품명 / 규격</t>
    <phoneticPr fontId="62" type="noConversion"/>
  </si>
  <si>
    <r>
      <t xml:space="preserve">견적금액 </t>
    </r>
    <r>
      <rPr>
        <sz val="9"/>
        <color indexed="8"/>
        <rFont val="나눔고딕 ExtraBold"/>
        <family val="3"/>
        <charset val="129"/>
      </rPr>
      <t xml:space="preserve">(공급가액 + 세액) </t>
    </r>
    <phoneticPr fontId="62" type="noConversion"/>
  </si>
  <si>
    <t>0504-887-6877</t>
    <phoneticPr fontId="62" type="noConversion"/>
  </si>
  <si>
    <t>팩스</t>
    <phoneticPr fontId="62" type="noConversion"/>
  </si>
  <si>
    <t>070-864-6877</t>
    <phoneticPr fontId="62" type="noConversion"/>
  </si>
  <si>
    <t>전화</t>
    <phoneticPr fontId="62" type="noConversion"/>
  </si>
  <si>
    <t>견적일로부터 3개월</t>
    <phoneticPr fontId="62" type="noConversion"/>
  </si>
  <si>
    <t>유효기간</t>
    <phoneticPr fontId="62" type="noConversion"/>
  </si>
  <si>
    <t xml:space="preserve">견적일 </t>
    <phoneticPr fontId="62" type="noConversion"/>
  </si>
  <si>
    <t>서울시 중구 장충단로 247, 굿모닝시티 4층 비채나창업보육센터 410호</t>
    <phoneticPr fontId="62" type="noConversion"/>
  </si>
  <si>
    <t>주소</t>
    <phoneticPr fontId="62" type="noConversion"/>
  </si>
  <si>
    <t>340-87-01780 (110111-7406732)</t>
    <phoneticPr fontId="62" type="noConversion"/>
  </si>
  <si>
    <t>등록번호</t>
    <phoneticPr fontId="62" type="noConversion"/>
  </si>
  <si>
    <t>이승혁         (인)</t>
    <phoneticPr fontId="62" type="noConversion"/>
  </si>
  <si>
    <t>대표자</t>
    <phoneticPr fontId="62" type="noConversion"/>
  </si>
  <si>
    <t xml:space="preserve">    </t>
    <phoneticPr fontId="62" type="noConversion"/>
  </si>
  <si>
    <t>다름과이음
주식회사</t>
    <phoneticPr fontId="62" type="noConversion"/>
  </si>
  <si>
    <t>상호</t>
    <phoneticPr fontId="62" type="noConversion"/>
  </si>
  <si>
    <t>견적서</t>
    <phoneticPr fontId="62" type="noConversion"/>
  </si>
  <si>
    <t>비용담당자: 조 한 별 (02-555-0131 / hbcho@iumpat.com)</t>
    <phoneticPr fontId="80" type="noConversion"/>
  </si>
  <si>
    <t>조승현(이음특허법률사무소)</t>
    <phoneticPr fontId="80" type="noConversion"/>
  </si>
  <si>
    <t>예 금 주</t>
    <phoneticPr fontId="80" type="noConversion"/>
  </si>
  <si>
    <t>302-1474-7266-11</t>
    <phoneticPr fontId="80" type="noConversion"/>
  </si>
  <si>
    <t>계 좌 번 호</t>
    <phoneticPr fontId="80" type="noConversion"/>
  </si>
  <si>
    <t xml:space="preserve">     이음특허법률사무소</t>
    <phoneticPr fontId="80" type="noConversion"/>
  </si>
  <si>
    <t>농협</t>
    <phoneticPr fontId="80" type="noConversion"/>
  </si>
  <si>
    <t>은 행 명</t>
    <phoneticPr fontId="80" type="noConversion"/>
  </si>
  <si>
    <t>☞ 입금자명이 출원인명과 다를 경우, 담당자에게 말씀해주시길 요청드립니다.</t>
    <phoneticPr fontId="80" type="noConversion"/>
  </si>
  <si>
    <r>
      <t xml:space="preserve">◎ 특허출원에 대한 특허청 관납료는 </t>
    </r>
    <r>
      <rPr>
        <sz val="10"/>
        <rFont val="맑은 고딕"/>
        <family val="3"/>
        <charset val="129"/>
        <scheme val="minor"/>
      </rPr>
      <t>청구항 7항 및 중소기업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감면기준으로 산정되었으며, 납부 시 변경되는 금액은 정산될 예정입니다. 
◎ 법리 검토가 필요한 중간사건은 대리인수수료가 추가로 청구됩니다. 
◎ 등록결정 시, 출원 대리인 수수료의 100%가 성사금으로 청구됩니다.
◎ 특허청 관납료는 세금계산서 발행 대상이 아니며, 관납료 납부 후 납부영수증을 별도로 제공하여 드립니다. </t>
    </r>
    <phoneticPr fontId="80" type="noConversion"/>
  </si>
  <si>
    <t>총   계</t>
    <phoneticPr fontId="80" type="noConversion"/>
  </si>
  <si>
    <t>소    계</t>
    <phoneticPr fontId="80" type="noConversion"/>
  </si>
  <si>
    <t>상표1 우선심사</t>
    <phoneticPr fontId="80" type="noConversion"/>
  </si>
  <si>
    <t>비고시상품 기준</t>
    <phoneticPr fontId="80" type="noConversion"/>
  </si>
  <si>
    <t>상표1</t>
    <phoneticPr fontId="80" type="noConversion"/>
  </si>
  <si>
    <t>특허1 우선심사</t>
    <phoneticPr fontId="80" type="noConversion"/>
  </si>
  <si>
    <t>청구항7항/중소기업 70% 감면적용</t>
    <phoneticPr fontId="80" type="noConversion"/>
  </si>
  <si>
    <t>특허1 출원</t>
    <phoneticPr fontId="80" type="noConversion"/>
  </si>
  <si>
    <t>부가세</t>
    <phoneticPr fontId="80" type="noConversion"/>
  </si>
  <si>
    <t>대리인 수수료</t>
    <phoneticPr fontId="80" type="noConversion"/>
  </si>
  <si>
    <t>특허청 관납료</t>
    <phoneticPr fontId="80" type="noConversion"/>
  </si>
  <si>
    <t>구   분</t>
    <phoneticPr fontId="80" type="noConversion"/>
  </si>
  <si>
    <t>(텍스트) KTSM / 제35류</t>
    <phoneticPr fontId="80" type="noConversion"/>
  </si>
  <si>
    <t>상표1 출원</t>
    <phoneticPr fontId="80" type="noConversion"/>
  </si>
  <si>
    <t>(제안명칭) 현장 모니터링 영상 관리 장치 및 장치의 동작 방법</t>
    <phoneticPr fontId="80" type="noConversion"/>
  </si>
  <si>
    <t xml:space="preserve">날   짜 : 2023.  </t>
    <phoneticPr fontId="80" type="noConversion"/>
  </si>
  <si>
    <t>제   목 : ○○○○○ 비용 견적의 건</t>
    <phoneticPr fontId="80" type="noConversion"/>
  </si>
  <si>
    <t xml:space="preserve"> </t>
    <phoneticPr fontId="80" type="noConversion"/>
  </si>
  <si>
    <t>수   신 : ○○○ 귀하</t>
    <phoneticPr fontId="80" type="noConversion"/>
  </si>
  <si>
    <t>발   신 : 이음특허법률사무소 ○○○ 변리사</t>
    <phoneticPr fontId="80" type="noConversion"/>
  </si>
  <si>
    <t>TEL: 02-555-0131   FAX: 0504-135-9378   홈페이지: www.iumpat.com</t>
    <phoneticPr fontId="80" type="noConversion"/>
  </si>
  <si>
    <t>주소: 서울특별시 강남구 논현로 570 (여송빌딩) 302호</t>
    <phoneticPr fontId="80" type="noConversion"/>
  </si>
  <si>
    <t>특허법인 올림</t>
    <phoneticPr fontId="80" type="noConversion"/>
  </si>
  <si>
    <t xml:space="preserve">   3. 문의하실 사항이 있으시면 언제든지 연락 부탁드립니다. 감사합니다.</t>
    <phoneticPr fontId="80" type="noConversion"/>
  </si>
  <si>
    <t xml:space="preserve">  담당 : 장현욱 변리사 (Tel: 010-3038-8780 / E-mail: justin@olimpat.co.kr)</t>
    <phoneticPr fontId="80" type="noConversion"/>
  </si>
  <si>
    <t>하나은행</t>
    <phoneticPr fontId="80" type="noConversion"/>
  </si>
  <si>
    <t>863-910012-28904</t>
    <phoneticPr fontId="80" type="noConversion"/>
  </si>
  <si>
    <t>은행명</t>
    <phoneticPr fontId="80" type="noConversion"/>
  </si>
  <si>
    <t>예금주</t>
  </si>
  <si>
    <t>계좌번호</t>
    <phoneticPr fontId="80" type="noConversion"/>
  </si>
  <si>
    <r>
      <t xml:space="preserve">☞ 은행 On-line 이용시에는 아래의 구좌로 입금하시고, </t>
    </r>
    <r>
      <rPr>
        <b/>
        <sz val="10"/>
        <rFont val="맑은 고딕"/>
        <family val="3"/>
        <charset val="129"/>
      </rPr>
      <t>당일로 전화통보</t>
    </r>
    <r>
      <rPr>
        <sz val="10"/>
        <rFont val="맑은 고딕"/>
        <family val="3"/>
        <charset val="129"/>
      </rPr>
      <t xml:space="preserve">하여 주시면 감사하겠습니다. </t>
    </r>
    <phoneticPr fontId="80" type="noConversion"/>
  </si>
  <si>
    <t>합 계</t>
    <phoneticPr fontId="80" type="noConversion"/>
  </si>
  <si>
    <t>부 가 세</t>
    <phoneticPr fontId="80" type="noConversion"/>
  </si>
  <si>
    <t>-</t>
    <phoneticPr fontId="80" type="noConversion"/>
  </si>
  <si>
    <t>ICT 분야</t>
    <phoneticPr fontId="80" type="noConversion"/>
  </si>
  <si>
    <t>랩미팅(4회)
보유기술 컨설팅
최종보고서</t>
    <phoneticPr fontId="80" type="noConversion"/>
  </si>
  <si>
    <t>원천특허
발굴용역</t>
    <phoneticPr fontId="80" type="noConversion"/>
  </si>
  <si>
    <t>금액</t>
    <phoneticPr fontId="80" type="noConversion"/>
  </si>
  <si>
    <t>구분</t>
    <phoneticPr fontId="80" type="noConversion"/>
  </si>
  <si>
    <t>비고</t>
    <phoneticPr fontId="80" type="noConversion"/>
  </si>
  <si>
    <t>상세</t>
    <phoneticPr fontId="80" type="noConversion"/>
  </si>
  <si>
    <t>내용</t>
    <phoneticPr fontId="80" type="noConversion"/>
  </si>
  <si>
    <r>
      <t xml:space="preserve">  2. 원천특허발굴용역 (ICT 분야) </t>
    </r>
    <r>
      <rPr>
        <sz val="11"/>
        <rFont val="맑은 고딕"/>
        <family val="3"/>
        <charset val="129"/>
      </rPr>
      <t xml:space="preserve">견적드립니다. </t>
    </r>
    <phoneticPr fontId="80" type="noConversion"/>
  </si>
  <si>
    <t xml:space="preserve">  1. 귀사의 일익 번창하심을 기원합니다.</t>
    <phoneticPr fontId="80" type="noConversion"/>
  </si>
  <si>
    <t>제   목 : 원천특허발굴용역 견적서</t>
    <phoneticPr fontId="80" type="noConversion"/>
  </si>
  <si>
    <t>수   신 : 가톨릭대학교 산학협력단</t>
    <phoneticPr fontId="80" type="noConversion"/>
  </si>
  <si>
    <t>주소: 서울시 중구 서소문로 38, 508호 (중림동, 센트럴타워) 전화: 02-561-5616 팩스: 02-6455-5617</t>
    <phoneticPr fontId="80" type="noConversion"/>
  </si>
  <si>
    <t>OLIM IP&amp;LAW FIRM</t>
    <phoneticPr fontId="80" type="noConversion"/>
  </si>
  <si>
    <t>VAT</t>
    <phoneticPr fontId="5" type="noConversion"/>
  </si>
  <si>
    <r>
      <t>Total</t>
    </r>
    <r>
      <rPr>
        <b/>
        <sz val="7"/>
        <color indexed="8"/>
        <rFont val="Malgun Gothic Semilight"/>
        <family val="3"/>
        <charset val="129"/>
      </rPr>
      <t xml:space="preserve"> (VAT 별도)</t>
    </r>
    <phoneticPr fontId="5" type="noConversion"/>
  </si>
  <si>
    <t>견적 합계</t>
    <phoneticPr fontId="5" type="noConversion"/>
  </si>
  <si>
    <t>소계</t>
    <phoneticPr fontId="5" type="noConversion"/>
  </si>
  <si>
    <t xml:space="preserve"> </t>
    <phoneticPr fontId="5" type="noConversion"/>
  </si>
  <si>
    <t>amount</t>
    <phoneticPr fontId="5" type="noConversion"/>
  </si>
  <si>
    <t>unit price</t>
    <phoneticPr fontId="5" type="noConversion"/>
  </si>
  <si>
    <t>ea</t>
    <phoneticPr fontId="5" type="noConversion"/>
  </si>
  <si>
    <t>item</t>
    <phoneticPr fontId="5" type="noConversion"/>
  </si>
  <si>
    <t xml:space="preserve">             아래와 같이 예상견적이 산출되었습니다.</t>
    <phoneticPr fontId="5" type="noConversion"/>
  </si>
  <si>
    <t xml:space="preserve">          제작기간  :</t>
    <phoneticPr fontId="5" type="noConversion"/>
  </si>
  <si>
    <t xml:space="preserve">          일       자 :</t>
    <phoneticPr fontId="5" type="noConversion"/>
  </si>
  <si>
    <t xml:space="preserve">          총 견적가 :</t>
    <phoneticPr fontId="5" type="noConversion"/>
  </si>
  <si>
    <t xml:space="preserve">견 적 서 </t>
    <phoneticPr fontId="5" type="noConversion"/>
  </si>
  <si>
    <t xml:space="preserve"> ㈜테키</t>
    <phoneticPr fontId="5" type="noConversion"/>
  </si>
  <si>
    <t>서울특별시 강남구 논현로 131길 22</t>
    <phoneticPr fontId="5" type="noConversion"/>
  </si>
  <si>
    <t>신민호, 성지인 대표</t>
    <phoneticPr fontId="5" type="noConversion"/>
  </si>
  <si>
    <t xml:space="preserve">  기업은행 / 287-281868-04-016</t>
    <phoneticPr fontId="5" type="noConversion"/>
  </si>
  <si>
    <r>
      <rPr>
        <sz val="16"/>
        <color indexed="8"/>
        <rFont val="Malgun Gothic Semilight"/>
        <family val="3"/>
        <charset val="129"/>
      </rPr>
      <t xml:space="preserve">      </t>
    </r>
    <r>
      <rPr>
        <sz val="13"/>
        <color indexed="8"/>
        <rFont val="Malgun Gothic Semilight"/>
        <family val="3"/>
        <charset val="129"/>
      </rPr>
      <t xml:space="preserve"> 제이나 김선아 </t>
    </r>
    <r>
      <rPr>
        <sz val="10"/>
        <color indexed="8"/>
        <rFont val="Malgun Gothic Semilight"/>
        <family val="3"/>
        <charset val="129"/>
      </rPr>
      <t>대표</t>
    </r>
    <r>
      <rPr>
        <u/>
        <sz val="10"/>
        <color indexed="8"/>
        <rFont val="Malgun Gothic Semilight"/>
        <family val="3"/>
        <charset val="129"/>
      </rPr>
      <t>님     귀하</t>
    </r>
    <phoneticPr fontId="5" type="noConversion"/>
  </si>
  <si>
    <t>1.5개월 예상</t>
    <phoneticPr fontId="5" type="noConversion"/>
  </si>
  <si>
    <t xml:space="preserve"> - 콘텐츠 기획</t>
    <phoneticPr fontId="5" type="noConversion"/>
  </si>
  <si>
    <t xml:space="preserve"> - 콘텐츠 디자인</t>
    <phoneticPr fontId="5" type="noConversion"/>
  </si>
  <si>
    <t xml:space="preserve"> - 콘텐츠 업로드</t>
    <phoneticPr fontId="5" type="noConversion"/>
  </si>
  <si>
    <t>2. 브랜딩</t>
    <phoneticPr fontId="5" type="noConversion"/>
  </si>
  <si>
    <t xml:space="preserve"> - BI 로고 제작</t>
    <phoneticPr fontId="5" type="noConversion"/>
  </si>
  <si>
    <t xml:space="preserve"> - 컬러, 폰트, 어플리케이션 제작</t>
    <phoneticPr fontId="5" type="noConversion"/>
  </si>
  <si>
    <t>1. 콘텐츠마케팅 (블로그 콘텐츠 제작)</t>
    <phoneticPr fontId="5" type="noConversion"/>
  </si>
  <si>
    <t>3. 콘텐츠마케팅 (언론보도)</t>
    <phoneticPr fontId="5" type="noConversion"/>
  </si>
  <si>
    <t xml:space="preserve"> - 기사작성</t>
    <phoneticPr fontId="5" type="noConversion"/>
  </si>
  <si>
    <t xml:space="preserve"> - 기사송출</t>
    <phoneticPr fontId="5" type="noConversion"/>
  </si>
  <si>
    <t>4. 홈페이지 제작</t>
    <phoneticPr fontId="5" type="noConversion"/>
  </si>
  <si>
    <t xml:space="preserve"> - 기획</t>
    <phoneticPr fontId="5" type="noConversion"/>
  </si>
  <si>
    <t xml:space="preserve"> - 디자인</t>
    <phoneticPr fontId="5" type="noConversion"/>
  </si>
  <si>
    <t xml:space="preserve"> - 퍼블리싱 및 홈페이지 세팅</t>
    <phoneticPr fontId="5" type="noConversion"/>
  </si>
  <si>
    <t>○ 심사위원 섭외비 (서류심사)</t>
    <phoneticPr fontId="80" type="noConversion"/>
  </si>
  <si>
    <t>○ 사전 온라인 바이어 미팅 섭외비</t>
    <phoneticPr fontId="80" type="noConversion"/>
  </si>
  <si>
    <t>○ 일본 현지 데모데이 투자사 섭외비</t>
    <phoneticPr fontId="80" type="noConversion"/>
  </si>
  <si>
    <t>○ 대/중견기업 방문 프로그램 운영비</t>
    <phoneticPr fontId="80" type="noConversion"/>
  </si>
  <si>
    <r>
      <t xml:space="preserve">○ 일본 현지 프로그램 기획 및 운영비 </t>
    </r>
    <r>
      <rPr>
        <sz val="11"/>
        <color rgb="FF000000"/>
        <rFont val="맑은 고딕"/>
        <family val="2"/>
        <charset val="129"/>
      </rPr>
      <t>(가이드 포함)</t>
    </r>
    <phoneticPr fontId="80" type="noConversion"/>
  </si>
  <si>
    <t>○ 통역 섭외비</t>
    <phoneticPr fontId="80" type="noConversion"/>
  </si>
  <si>
    <t>○ 공항 픽업 및 시내 교통비</t>
    <phoneticPr fontId="80" type="noConversion"/>
  </si>
  <si>
    <t>○ 식비 (중식, 석식, 네트워킹 등)</t>
    <phoneticPr fontId="80" type="noConversion"/>
  </si>
  <si>
    <t>○ 데모데이, MOU 행사 조성 (다과, 현수막 등)</t>
    <phoneticPr fontId="80" type="noConversion"/>
  </si>
  <si>
    <t>○ 기업 소개자료 번역 및 고도화</t>
    <phoneticPr fontId="80" type="noConversion"/>
  </si>
  <si>
    <t>○ 장소 대관비</t>
    <phoneticPr fontId="80" type="noConversion"/>
  </si>
  <si>
    <t>○ 호텔 숙박비 (1인 1실)</t>
    <phoneticPr fontId="80" type="noConversion"/>
  </si>
  <si>
    <t>○ 항공비 (대한항공 왕복)</t>
    <phoneticPr fontId="80" type="noConversion"/>
  </si>
  <si>
    <t>현지 기업 방문 프로그램 운영비</t>
    <phoneticPr fontId="62" type="noConversion"/>
  </si>
  <si>
    <t>일본 현지 가이드 및 운영비</t>
    <phoneticPr fontId="5" type="noConversion"/>
  </si>
  <si>
    <t>통역 섭외비</t>
    <phoneticPr fontId="5" type="noConversion"/>
  </si>
  <si>
    <t>일본 현지 교통비</t>
    <phoneticPr fontId="5" type="noConversion"/>
  </si>
  <si>
    <t>식비 (중식, 석식 등)</t>
    <phoneticPr fontId="5" type="noConversion"/>
  </si>
  <si>
    <t>데모데이 운영비</t>
    <phoneticPr fontId="5" type="noConversion"/>
  </si>
  <si>
    <t>기업 소개자료 고도화</t>
    <phoneticPr fontId="5" type="noConversion"/>
  </si>
  <si>
    <t>장소 대관비</t>
    <phoneticPr fontId="5" type="noConversion"/>
  </si>
  <si>
    <t>호텔 숙박비</t>
    <phoneticPr fontId="5" type="noConversion"/>
  </si>
  <si>
    <t>항공비</t>
    <phoneticPr fontId="5" type="noConversion"/>
  </si>
  <si>
    <t>서류 심사위원 섭외비 (2시간*20만원)</t>
    <phoneticPr fontId="62" type="noConversion"/>
  </si>
  <si>
    <t>바이어 섭외비 (2시간*20만원)</t>
    <phoneticPr fontId="62" type="noConversion"/>
  </si>
  <si>
    <t>데모데이 투자사 섭외비 (2시간*20만원)</t>
    <phoneticPr fontId="62" type="noConversion"/>
  </si>
  <si>
    <t>프로젝트 투입 인력 인건비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</si>
</sst>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₩&quot;#,##0_);[Red]\(&quot;₩&quot;#,##0\)"/>
    <numFmt numFmtId="176" formatCode="&quot;₩&quot;#,##0;[Red]\-&quot;₩&quot;#,##0"/>
    <numFmt numFmtId="177" formatCode="_-&quot;₩&quot;* #,##0_-;\-&quot;₩&quot;* #,##0_-;_-&quot;₩&quot;* &quot;-&quot;_-;_-@_-"/>
    <numFmt numFmtId="178" formatCode="_-* #,##0_-;\-* #,##0_-;_-* &quot;-&quot;_-;_-@_-"/>
    <numFmt numFmtId="179" formatCode="[$-F800]dddd\,\ mmmm\ dd\,\ yyyy"/>
    <numFmt numFmtId="180" formatCode="#,##0_ "/>
    <numFmt numFmtId="181" formatCode="[DBNum4]\ &quot;일금 &quot;[$-412]General\ &quot;원정&quot;"/>
    <numFmt numFmtId="182" formatCode="\(&quot;₩&quot;\ #,##0\)"/>
    <numFmt numFmtId="183" formatCode="#,##0_ ;[Red]\-#,##0\ "/>
    <numFmt numFmtId="184" formatCode="0_ "/>
    <numFmt numFmtId="185" formatCode="0.0_);[Red]\(0.0\)"/>
    <numFmt numFmtId="186" formatCode="yy&quot;-&quot;m&quot;-&quot;d;@"/>
    <numFmt numFmtId="187" formatCode="0_);[Red]\(0\)"/>
    <numFmt numFmtId="188" formatCode="&quot;₩&quot;#,##0"/>
    <numFmt numFmtId="189" formatCode="yyyy&quot;년&quot;\ m&quot;월&quot;\ d&quot;일&quot;;@"/>
    <numFmt numFmtId="190" formatCode="_-&quot;₩&quot;* #,##0.0_-;\-&quot;₩&quot;* #,##0.0_-;_-&quot;₩&quot;* &quot;-&quot;?_-;_-@_-"/>
    <numFmt numFmtId="191" formatCode="yyyy&quot;-&quot;m&quot;-&quot;d"/>
    <numFmt numFmtId="192" formatCode="[$￦-412]#,##0&quot;원&quot;;\-[$￦-412]#,##0&quot;원&quot;"/>
  </numFmts>
  <fonts count="1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u/>
      <sz val="13.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333333"/>
      <name val="돋움"/>
      <family val="3"/>
      <charset val="129"/>
    </font>
    <font>
      <b/>
      <sz val="12"/>
      <color theme="1"/>
      <name val="Arial"/>
      <family val="2"/>
    </font>
    <font>
      <b/>
      <sz val="12"/>
      <color theme="1"/>
      <name val="맑은 고딕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맑은 고딕"/>
      <family val="3"/>
      <charset val="129"/>
    </font>
    <font>
      <sz val="11"/>
      <color rgb="FF333333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맑은 고딕"/>
      <family val="3"/>
      <charset val="129"/>
    </font>
    <font>
      <u/>
      <sz val="11"/>
      <color theme="10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돋움"/>
      <family val="2"/>
      <charset val="129"/>
    </font>
    <font>
      <sz val="12"/>
      <color theme="1"/>
      <name val="Arial"/>
      <family val="3"/>
    </font>
    <font>
      <b/>
      <sz val="12"/>
      <color theme="1"/>
      <name val="맑은 고딕"/>
      <family val="2"/>
      <charset val="129"/>
    </font>
    <font>
      <sz val="12"/>
      <color theme="1"/>
      <name val="Arial Unicode MS"/>
      <family val="2"/>
      <charset val="129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u/>
      <sz val="12"/>
      <color theme="10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3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0"/>
      <color theme="1" tint="0.34998626667073579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 tint="0.3499862666707357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u/>
      <sz val="10"/>
      <color indexed="12"/>
      <name val="맑은 고딕"/>
      <family val="3"/>
      <charset val="129"/>
      <scheme val="major"/>
    </font>
    <font>
      <sz val="10"/>
      <color indexed="8"/>
      <name val="나눔고딕"/>
      <family val="3"/>
      <charset val="129"/>
    </font>
    <font>
      <sz val="8.5"/>
      <color indexed="8"/>
      <name val="나눔고딕"/>
      <family val="3"/>
      <charset val="129"/>
    </font>
    <font>
      <sz val="8"/>
      <color indexed="8"/>
      <name val="나눔고딕"/>
      <family val="3"/>
      <charset val="129"/>
    </font>
    <font>
      <sz val="8"/>
      <name val="맑은 고딕"/>
      <family val="3"/>
      <charset val="129"/>
    </font>
    <font>
      <sz val="8.5"/>
      <color indexed="8"/>
      <name val="나눔고딕 ExtraBold"/>
      <family val="3"/>
      <charset val="129"/>
    </font>
    <font>
      <b/>
      <sz val="10"/>
      <color indexed="8"/>
      <name val="나눔고딕"/>
      <family val="3"/>
      <charset val="129"/>
    </font>
    <font>
      <b/>
      <sz val="8"/>
      <color indexed="8"/>
      <name val="나눔고딕"/>
      <family val="3"/>
      <charset val="129"/>
    </font>
    <font>
      <b/>
      <sz val="12"/>
      <color indexed="8"/>
      <name val="나눔고딕"/>
      <family val="3"/>
      <charset val="129"/>
    </font>
    <font>
      <sz val="12"/>
      <color indexed="8"/>
      <name val="나눔고딕"/>
      <family val="3"/>
      <charset val="129"/>
    </font>
    <font>
      <sz val="19"/>
      <color indexed="8"/>
      <name val="나눔고딕 ExtraBold"/>
      <family val="3"/>
      <charset val="129"/>
    </font>
    <font>
      <sz val="14"/>
      <color indexed="8"/>
      <name val="나눔고딕"/>
      <family val="3"/>
      <charset val="129"/>
    </font>
    <font>
      <sz val="19"/>
      <color indexed="8"/>
      <name val="나눔고딕"/>
      <family val="3"/>
      <charset val="129"/>
    </font>
    <font>
      <sz val="14"/>
      <color indexed="8"/>
      <name val="나눔고딕 ExtraBold"/>
      <family val="3"/>
      <charset val="129"/>
    </font>
    <font>
      <sz val="9"/>
      <color indexed="8"/>
      <name val="나눔고딕 ExtraBold"/>
      <family val="3"/>
      <charset val="129"/>
    </font>
    <font>
      <b/>
      <sz val="8.5"/>
      <color indexed="8"/>
      <name val="나눔고딕"/>
      <family val="3"/>
      <charset val="129"/>
    </font>
    <font>
      <sz val="8"/>
      <color indexed="8"/>
      <name val="나눔고딕 ExtraBold"/>
      <family val="3"/>
      <charset val="129"/>
    </font>
    <font>
      <b/>
      <sz val="14"/>
      <color indexed="8"/>
      <name val="나눔고딕"/>
      <family val="3"/>
      <charset val="129"/>
    </font>
    <font>
      <sz val="22"/>
      <color indexed="8"/>
      <name val="나눔고딕 ExtraBold"/>
      <family val="3"/>
      <charset val="129"/>
    </font>
    <font>
      <sz val="11"/>
      <name val="돋움"/>
      <family val="3"/>
      <charset val="129"/>
    </font>
    <font>
      <sz val="11"/>
      <name val="한컴 고딕"/>
      <family val="3"/>
      <charset val="129"/>
    </font>
    <font>
      <sz val="9"/>
      <name val="한컴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한컴 고딕"/>
      <family val="3"/>
      <charset val="129"/>
    </font>
    <font>
      <b/>
      <sz val="11"/>
      <name val="맑은 고딕"/>
      <family val="3"/>
      <charset val="129"/>
      <scheme val="minor"/>
    </font>
    <font>
      <sz val="10"/>
      <name val="한컴 고딕"/>
      <family val="3"/>
      <charset val="129"/>
    </font>
    <font>
      <sz val="11"/>
      <name val="굴림체"/>
      <family val="3"/>
      <charset val="129"/>
    </font>
    <font>
      <sz val="9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Noto Sans CJK KR Bold"/>
      <family val="3"/>
      <charset val="129"/>
    </font>
    <font>
      <b/>
      <sz val="22"/>
      <name val="궁서"/>
      <family val="1"/>
      <charset val="129"/>
    </font>
    <font>
      <sz val="8"/>
      <name val="Malgun Gothic Semilight"/>
      <family val="3"/>
      <charset val="129"/>
    </font>
    <font>
      <sz val="11"/>
      <name val="Malgun Gothic Semilight"/>
      <family val="3"/>
      <charset val="129"/>
    </font>
    <font>
      <sz val="10"/>
      <name val="Malgun Gothic Semilight"/>
      <family val="3"/>
      <charset val="129"/>
    </font>
    <font>
      <b/>
      <sz val="12"/>
      <color theme="0"/>
      <name val="Malgun Gothic Semilight"/>
      <family val="3"/>
      <charset val="129"/>
    </font>
    <font>
      <b/>
      <sz val="10"/>
      <color indexed="9"/>
      <name val="Malgun Gothic Semilight"/>
      <family val="3"/>
      <charset val="129"/>
    </font>
    <font>
      <b/>
      <sz val="11"/>
      <color theme="1" tint="4.9989318521683403E-2"/>
      <name val="Malgun Gothic Semilight"/>
      <family val="3"/>
      <charset val="129"/>
    </font>
    <font>
      <b/>
      <sz val="9"/>
      <color theme="1" tint="4.9989318521683403E-2"/>
      <name val="Malgun Gothic Semilight"/>
      <family val="3"/>
      <charset val="129"/>
    </font>
    <font>
      <b/>
      <sz val="7"/>
      <color indexed="8"/>
      <name val="Malgun Gothic Semilight"/>
      <family val="3"/>
      <charset val="129"/>
    </font>
    <font>
      <sz val="8"/>
      <color theme="0"/>
      <name val="Malgun Gothic Semilight"/>
      <family val="3"/>
      <charset val="129"/>
    </font>
    <font>
      <sz val="8"/>
      <color theme="1" tint="4.9989318521683403E-2"/>
      <name val="Malgun Gothic Semilight"/>
      <family val="3"/>
      <charset val="129"/>
    </font>
    <font>
      <sz val="9"/>
      <color theme="1" tint="4.9989318521683403E-2"/>
      <name val="Malgun Gothic Semilight"/>
      <family val="3"/>
      <charset val="129"/>
    </font>
    <font>
      <sz val="8"/>
      <color rgb="FF303030"/>
      <name val="Malgun Gothic Semilight"/>
      <family val="3"/>
      <charset val="129"/>
    </font>
    <font>
      <b/>
      <sz val="12"/>
      <name val="Malgun Gothic Semilight"/>
      <family val="3"/>
      <charset val="129"/>
    </font>
    <font>
      <u/>
      <sz val="8"/>
      <color theme="1" tint="4.9989318521683403E-2"/>
      <name val="Malgun Gothic Semilight"/>
      <family val="3"/>
      <charset val="129"/>
    </font>
    <font>
      <b/>
      <sz val="8"/>
      <color theme="1" tint="4.9989318521683403E-2"/>
      <name val="Malgun Gothic Semilight"/>
      <family val="3"/>
      <charset val="129"/>
    </font>
    <font>
      <b/>
      <sz val="8"/>
      <name val="Malgun Gothic Semilight"/>
      <family val="3"/>
      <charset val="129"/>
    </font>
    <font>
      <sz val="10"/>
      <color theme="1" tint="4.9989318521683403E-2"/>
      <name val="Malgun Gothic Semilight"/>
      <family val="3"/>
      <charset val="129"/>
    </font>
    <font>
      <sz val="12"/>
      <color theme="1" tint="4.9989318521683403E-2"/>
      <name val="Malgun Gothic Semilight"/>
      <family val="3"/>
      <charset val="129"/>
    </font>
    <font>
      <u/>
      <sz val="14"/>
      <color theme="1" tint="4.9989318521683403E-2"/>
      <name val="Malgun Gothic Semilight"/>
      <family val="3"/>
      <charset val="129"/>
    </font>
    <font>
      <sz val="14"/>
      <color theme="1" tint="4.9989318521683403E-2"/>
      <name val="Malgun Gothic Semilight"/>
      <family val="3"/>
      <charset val="129"/>
    </font>
    <font>
      <sz val="14"/>
      <color indexed="8"/>
      <name val="Malgun Gothic Semilight"/>
      <family val="3"/>
      <charset val="129"/>
    </font>
    <font>
      <sz val="16"/>
      <color indexed="8"/>
      <name val="Malgun Gothic Semilight"/>
      <family val="3"/>
      <charset val="129"/>
    </font>
    <font>
      <sz val="13"/>
      <color indexed="8"/>
      <name val="Malgun Gothic Semilight"/>
      <family val="3"/>
      <charset val="129"/>
    </font>
    <font>
      <sz val="10"/>
      <color indexed="8"/>
      <name val="Malgun Gothic Semilight"/>
      <family val="3"/>
      <charset val="129"/>
    </font>
    <font>
      <u/>
      <sz val="10"/>
      <color indexed="8"/>
      <name val="Malgun Gothic Semilight"/>
      <family val="3"/>
      <charset val="129"/>
    </font>
    <font>
      <sz val="22"/>
      <color theme="1" tint="4.9989318521683403E-2"/>
      <name val="Malgun Gothic Semilight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3" tint="0.59999389629810485"/>
        <bgColor indexed="3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38"/>
      </patternFill>
    </fill>
    <fill>
      <patternFill patternType="solid">
        <fgColor theme="3" tint="0.79998168889431442"/>
        <bgColor indexed="15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</fills>
  <borders count="1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/>
      <right/>
      <top style="thin">
        <color theme="1" tint="0.49998474074526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1" tint="0.499984740745262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hair">
        <color indexed="64"/>
      </left>
      <right/>
      <top style="hair">
        <color indexed="64"/>
      </top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hair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/>
      <top style="hair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hair">
        <color indexed="64"/>
      </left>
      <right/>
      <top style="thin">
        <color theme="1" tint="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/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 style="thin">
        <color theme="1" tint="0.499984740745262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dashed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dash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8"/>
      </top>
      <bottom style="thin">
        <color theme="1" tint="0.499984740745262"/>
      </bottom>
      <diagonal/>
    </border>
    <border>
      <left/>
      <right/>
      <top style="hair">
        <color indexed="8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8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8"/>
      </top>
      <bottom style="hair">
        <color indexed="8"/>
      </bottom>
      <diagonal/>
    </border>
    <border>
      <left style="thin">
        <color theme="1" tint="0.499984740745262"/>
      </left>
      <right/>
      <top style="hair">
        <color indexed="8"/>
      </top>
      <bottom style="hair">
        <color indexed="8"/>
      </bottom>
      <diagonal/>
    </border>
    <border>
      <left/>
      <right style="thin">
        <color theme="1" tint="0.499984740745262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theme="1" tint="0.499984740745262"/>
      </left>
      <right/>
      <top/>
      <bottom style="hair">
        <color indexed="8"/>
      </bottom>
      <diagonal/>
    </border>
    <border>
      <left/>
      <right style="thin">
        <color indexed="8"/>
      </right>
      <top/>
      <bottom/>
      <diagonal/>
    </border>
  </borders>
  <cellStyleXfs count="16">
    <xf numFmtId="0" fontId="0" fillId="0" borderId="0"/>
    <xf numFmtId="178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>
      <alignment vertical="center"/>
    </xf>
    <xf numFmtId="178" fontId="7" fillId="0" borderId="0" applyFont="0" applyFill="0" applyBorder="0" applyAlignment="0" applyProtection="0">
      <alignment vertical="center"/>
    </xf>
    <xf numFmtId="0" fontId="4" fillId="0" borderId="0"/>
    <xf numFmtId="178" fontId="4" fillId="0" borderId="0" applyFont="0" applyFill="0" applyBorder="0" applyAlignment="0" applyProtection="0">
      <alignment vertical="center"/>
    </xf>
    <xf numFmtId="0" fontId="15" fillId="0" borderId="0"/>
    <xf numFmtId="178" fontId="1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77" fillId="0" borderId="0"/>
    <xf numFmtId="178" fontId="77" fillId="0" borderId="0" applyFont="0" applyFill="0" applyBorder="0" applyAlignment="0" applyProtection="0">
      <alignment vertical="center"/>
    </xf>
    <xf numFmtId="177" fontId="77" fillId="0" borderId="0" applyFont="0" applyFill="0" applyBorder="0" applyAlignment="0" applyProtection="0"/>
  </cellStyleXfs>
  <cellXfs count="594">
    <xf numFmtId="0" fontId="0" fillId="0" borderId="0" xfId="0"/>
    <xf numFmtId="0" fontId="7" fillId="0" borderId="0" xfId="3">
      <alignment vertical="center"/>
    </xf>
    <xf numFmtId="0" fontId="7" fillId="0" borderId="5" xfId="3" applyBorder="1">
      <alignment vertical="center"/>
    </xf>
    <xf numFmtId="0" fontId="7" fillId="0" borderId="6" xfId="3" applyBorder="1">
      <alignment vertical="center"/>
    </xf>
    <xf numFmtId="0" fontId="8" fillId="0" borderId="7" xfId="3" applyFont="1" applyBorder="1">
      <alignment vertical="center"/>
    </xf>
    <xf numFmtId="0" fontId="7" fillId="0" borderId="7" xfId="3" applyBorder="1">
      <alignment vertical="center"/>
    </xf>
    <xf numFmtId="0" fontId="9" fillId="0" borderId="7" xfId="3" applyFont="1" applyBorder="1">
      <alignment vertical="center"/>
    </xf>
    <xf numFmtId="0" fontId="9" fillId="0" borderId="5" xfId="3" applyFont="1" applyBorder="1">
      <alignment vertical="center"/>
    </xf>
    <xf numFmtId="0" fontId="9" fillId="0" borderId="8" xfId="3" applyFont="1" applyBorder="1">
      <alignment vertical="center"/>
    </xf>
    <xf numFmtId="0" fontId="10" fillId="0" borderId="7" xfId="3" applyFont="1" applyBorder="1">
      <alignment vertical="center"/>
    </xf>
    <xf numFmtId="0" fontId="9" fillId="0" borderId="6" xfId="3" applyFont="1" applyBorder="1">
      <alignment vertical="center"/>
    </xf>
    <xf numFmtId="0" fontId="11" fillId="0" borderId="6" xfId="3" applyFont="1" applyBorder="1">
      <alignment vertical="center"/>
    </xf>
    <xf numFmtId="0" fontId="12" fillId="0" borderId="6" xfId="3" applyFont="1" applyBorder="1">
      <alignment vertical="center"/>
    </xf>
    <xf numFmtId="178" fontId="9" fillId="0" borderId="5" xfId="4" applyFont="1" applyBorder="1" applyAlignment="1">
      <alignment horizontal="left" vertical="center"/>
    </xf>
    <xf numFmtId="178" fontId="9" fillId="0" borderId="9" xfId="4" applyFont="1" applyBorder="1" applyAlignment="1">
      <alignment horizontal="left" vertical="center"/>
    </xf>
    <xf numFmtId="178" fontId="10" fillId="0" borderId="9" xfId="4" applyFont="1" applyBorder="1" applyAlignment="1">
      <alignment horizontal="left" vertical="center"/>
    </xf>
    <xf numFmtId="178" fontId="10" fillId="0" borderId="8" xfId="4" applyFont="1" applyBorder="1" applyAlignment="1">
      <alignment horizontal="left" vertical="center"/>
    </xf>
    <xf numFmtId="0" fontId="3" fillId="0" borderId="0" xfId="9">
      <alignment vertical="center"/>
    </xf>
    <xf numFmtId="0" fontId="23" fillId="2" borderId="0" xfId="9" applyFont="1" applyFill="1" applyAlignment="1">
      <alignment horizontal="center" vertical="center"/>
    </xf>
    <xf numFmtId="0" fontId="24" fillId="2" borderId="0" xfId="9" applyFont="1" applyFill="1" applyAlignment="1">
      <alignment horizontal="center" vertical="center"/>
    </xf>
    <xf numFmtId="0" fontId="24" fillId="2" borderId="0" xfId="9" applyFont="1" applyFill="1" applyAlignment="1">
      <alignment horizontal="left" vertical="center"/>
    </xf>
    <xf numFmtId="0" fontId="24" fillId="2" borderId="0" xfId="9" applyFont="1" applyFill="1" applyAlignment="1">
      <alignment horizontal="right" vertical="center"/>
    </xf>
    <xf numFmtId="0" fontId="24" fillId="5" borderId="0" xfId="9" applyFont="1" applyFill="1">
      <alignment vertical="center"/>
    </xf>
    <xf numFmtId="9" fontId="24" fillId="5" borderId="0" xfId="11" applyFont="1" applyFill="1" applyAlignment="1">
      <alignment horizontal="left" vertical="center"/>
    </xf>
    <xf numFmtId="0" fontId="26" fillId="2" borderId="0" xfId="9" applyFont="1" applyFill="1">
      <alignment vertical="center"/>
    </xf>
    <xf numFmtId="0" fontId="29" fillId="5" borderId="30" xfId="9" applyFont="1" applyFill="1" applyBorder="1" applyAlignment="1">
      <alignment horizontal="center" vertical="center" wrapText="1"/>
    </xf>
    <xf numFmtId="0" fontId="29" fillId="5" borderId="30" xfId="9" applyFont="1" applyFill="1" applyBorder="1" applyAlignment="1">
      <alignment horizontal="right" vertical="center" wrapText="1"/>
    </xf>
    <xf numFmtId="0" fontId="26" fillId="2" borderId="50" xfId="9" applyFont="1" applyFill="1" applyBorder="1" applyAlignment="1">
      <alignment horizontal="center" vertical="center" wrapText="1"/>
    </xf>
    <xf numFmtId="0" fontId="30" fillId="2" borderId="50" xfId="9" applyFont="1" applyFill="1" applyBorder="1" applyAlignment="1">
      <alignment horizontal="right" vertical="center"/>
    </xf>
    <xf numFmtId="0" fontId="26" fillId="2" borderId="50" xfId="9" applyFont="1" applyFill="1" applyBorder="1" applyAlignment="1">
      <alignment horizontal="center" vertical="center"/>
    </xf>
    <xf numFmtId="0" fontId="24" fillId="2" borderId="50" xfId="9" applyFont="1" applyFill="1" applyBorder="1" applyAlignment="1">
      <alignment horizontal="center" vertical="center"/>
    </xf>
    <xf numFmtId="0" fontId="29" fillId="5" borderId="0" xfId="9" applyFont="1" applyFill="1" applyAlignment="1">
      <alignment horizontal="center" vertical="center" wrapText="1"/>
    </xf>
    <xf numFmtId="0" fontId="29" fillId="5" borderId="0" xfId="9" applyFont="1" applyFill="1" applyAlignment="1">
      <alignment horizontal="right" vertical="center" wrapText="1"/>
    </xf>
    <xf numFmtId="0" fontId="26" fillId="2" borderId="0" xfId="9" applyFont="1" applyFill="1" applyAlignment="1">
      <alignment vertical="center" wrapText="1"/>
    </xf>
    <xf numFmtId="0" fontId="33" fillId="5" borderId="0" xfId="10" applyFont="1" applyFill="1" applyAlignment="1">
      <alignment vertical="center"/>
    </xf>
    <xf numFmtId="0" fontId="19" fillId="4" borderId="1" xfId="9" applyFont="1" applyFill="1" applyBorder="1" applyAlignment="1">
      <alignment horizontal="center" vertical="center"/>
    </xf>
    <xf numFmtId="0" fontId="19" fillId="3" borderId="34" xfId="9" applyFont="1" applyFill="1" applyBorder="1" applyAlignment="1">
      <alignment horizontal="center" vertical="center"/>
    </xf>
    <xf numFmtId="38" fontId="19" fillId="2" borderId="35" xfId="9" applyNumberFormat="1" applyFont="1" applyFill="1" applyBorder="1" applyAlignment="1">
      <alignment horizontal="center" vertical="center"/>
    </xf>
    <xf numFmtId="0" fontId="19" fillId="3" borderId="35" xfId="9" applyFont="1" applyFill="1" applyBorder="1" applyAlignment="1">
      <alignment horizontal="center" vertical="center"/>
    </xf>
    <xf numFmtId="38" fontId="19" fillId="2" borderId="35" xfId="9" applyNumberFormat="1" applyFont="1" applyFill="1" applyBorder="1" applyAlignment="1">
      <alignment horizontal="right" vertical="center"/>
    </xf>
    <xf numFmtId="38" fontId="19" fillId="2" borderId="0" xfId="9" applyNumberFormat="1" applyFont="1" applyFill="1" applyAlignment="1">
      <alignment horizontal="center" vertical="center"/>
    </xf>
    <xf numFmtId="38" fontId="19" fillId="2" borderId="0" xfId="9" applyNumberFormat="1" applyFont="1" applyFill="1" applyAlignment="1">
      <alignment horizontal="right" vertical="center"/>
    </xf>
    <xf numFmtId="38" fontId="31" fillId="2" borderId="0" xfId="9" applyNumberFormat="1" applyFont="1" applyFill="1" applyAlignment="1">
      <alignment horizontal="center" vertical="center"/>
    </xf>
    <xf numFmtId="0" fontId="19" fillId="2" borderId="0" xfId="9" applyFont="1" applyFill="1" applyAlignment="1">
      <alignment horizontal="center" vertical="center"/>
    </xf>
    <xf numFmtId="0" fontId="26" fillId="2" borderId="0" xfId="9" applyFont="1" applyFill="1" applyAlignment="1">
      <alignment horizontal="center" vertical="center" wrapText="1"/>
    </xf>
    <xf numFmtId="0" fontId="26" fillId="2" borderId="0" xfId="9" applyFont="1" applyFill="1" applyAlignment="1">
      <alignment horizontal="center" vertical="center"/>
    </xf>
    <xf numFmtId="14" fontId="21" fillId="2" borderId="31" xfId="9" applyNumberFormat="1" applyFont="1" applyFill="1" applyBorder="1" applyAlignment="1">
      <alignment horizontal="left" vertical="center" indent="1"/>
    </xf>
    <xf numFmtId="0" fontId="21" fillId="2" borderId="23" xfId="9" applyFont="1" applyFill="1" applyBorder="1" applyAlignment="1">
      <alignment horizontal="left" vertical="center" indent="1"/>
    </xf>
    <xf numFmtId="0" fontId="34" fillId="2" borderId="23" xfId="9" applyFont="1" applyFill="1" applyBorder="1" applyAlignment="1">
      <alignment horizontal="left" vertical="center" indent="1"/>
    </xf>
    <xf numFmtId="0" fontId="21" fillId="2" borderId="0" xfId="9" applyFont="1" applyFill="1" applyAlignment="1">
      <alignment horizontal="left" vertical="center" indent="1"/>
    </xf>
    <xf numFmtId="0" fontId="24" fillId="2" borderId="0" xfId="9" applyFont="1" applyFill="1" applyAlignment="1">
      <alignment horizontal="left" vertical="center" indent="1"/>
    </xf>
    <xf numFmtId="49" fontId="17" fillId="2" borderId="0" xfId="10" applyNumberFormat="1" applyFill="1" applyBorder="1" applyAlignment="1">
      <alignment horizontal="left" vertical="center" indent="1"/>
    </xf>
    <xf numFmtId="0" fontId="21" fillId="2" borderId="0" xfId="9" applyFont="1" applyFill="1" applyAlignment="1">
      <alignment horizontal="center" vertical="center"/>
    </xf>
    <xf numFmtId="0" fontId="39" fillId="2" borderId="1" xfId="9" applyFont="1" applyFill="1" applyBorder="1" applyAlignment="1">
      <alignment horizontal="left" vertical="center" indent="1"/>
    </xf>
    <xf numFmtId="0" fontId="43" fillId="2" borderId="0" xfId="9" applyFont="1" applyFill="1" applyAlignment="1">
      <alignment horizontal="center" vertical="center"/>
    </xf>
    <xf numFmtId="0" fontId="40" fillId="2" borderId="0" xfId="9" applyFont="1" applyFill="1" applyAlignment="1">
      <alignment horizontal="center" vertical="center"/>
    </xf>
    <xf numFmtId="0" fontId="40" fillId="2" borderId="0" xfId="9" applyFont="1" applyFill="1" applyAlignment="1">
      <alignment horizontal="left" vertical="center"/>
    </xf>
    <xf numFmtId="0" fontId="40" fillId="2" borderId="0" xfId="9" applyFont="1" applyFill="1" applyAlignment="1">
      <alignment horizontal="right" vertical="center"/>
    </xf>
    <xf numFmtId="178" fontId="41" fillId="2" borderId="1" xfId="1" applyFont="1" applyFill="1" applyBorder="1" applyAlignment="1">
      <alignment horizontal="right" vertical="center"/>
    </xf>
    <xf numFmtId="14" fontId="39" fillId="2" borderId="1" xfId="9" applyNumberFormat="1" applyFont="1" applyFill="1" applyBorder="1" applyAlignment="1">
      <alignment horizontal="left" vertical="center" indent="1"/>
    </xf>
    <xf numFmtId="178" fontId="46" fillId="2" borderId="1" xfId="1" applyFont="1" applyFill="1" applyBorder="1" applyAlignment="1">
      <alignment horizontal="center" vertical="center"/>
    </xf>
    <xf numFmtId="0" fontId="41" fillId="6" borderId="58" xfId="9" applyFont="1" applyFill="1" applyBorder="1" applyAlignment="1">
      <alignment horizontal="center" vertical="center"/>
    </xf>
    <xf numFmtId="0" fontId="40" fillId="0" borderId="0" xfId="9" applyFont="1">
      <alignment vertical="center"/>
    </xf>
    <xf numFmtId="0" fontId="48" fillId="0" borderId="0" xfId="9" applyFont="1">
      <alignment vertical="center"/>
    </xf>
    <xf numFmtId="179" fontId="50" fillId="0" borderId="0" xfId="9" applyNumberFormat="1" applyFont="1" applyAlignment="1" applyProtection="1">
      <alignment horizontal="right" vertical="center"/>
      <protection locked="0"/>
    </xf>
    <xf numFmtId="49" fontId="51" fillId="0" borderId="2" xfId="9" applyNumberFormat="1" applyFont="1" applyBorder="1" applyAlignment="1" applyProtection="1">
      <alignment vertical="center" shrinkToFit="1"/>
      <protection locked="0"/>
    </xf>
    <xf numFmtId="0" fontId="53" fillId="0" borderId="2" xfId="9" applyFont="1" applyBorder="1">
      <alignment vertical="center"/>
    </xf>
    <xf numFmtId="49" fontId="55" fillId="0" borderId="0" xfId="9" applyNumberFormat="1" applyFont="1" applyProtection="1">
      <alignment vertical="center"/>
      <protection locked="0"/>
    </xf>
    <xf numFmtId="49" fontId="55" fillId="0" borderId="9" xfId="9" applyNumberFormat="1" applyFont="1" applyBorder="1" applyProtection="1">
      <alignment vertical="center"/>
      <protection locked="0"/>
    </xf>
    <xf numFmtId="0" fontId="52" fillId="7" borderId="0" xfId="9" applyFont="1" applyFill="1" applyAlignment="1">
      <alignment horizontal="center" vertical="center" wrapText="1"/>
    </xf>
    <xf numFmtId="0" fontId="52" fillId="7" borderId="0" xfId="9" applyFont="1" applyFill="1" applyAlignment="1">
      <alignment horizontal="center" vertical="center"/>
    </xf>
    <xf numFmtId="0" fontId="52" fillId="0" borderId="0" xfId="9" applyFont="1" applyAlignment="1">
      <alignment horizontal="center" vertical="center"/>
    </xf>
    <xf numFmtId="0" fontId="52" fillId="0" borderId="4" xfId="9" applyFont="1" applyBorder="1" applyAlignment="1">
      <alignment horizontal="center" vertical="center" wrapText="1"/>
    </xf>
    <xf numFmtId="0" fontId="48" fillId="0" borderId="63" xfId="9" applyFont="1" applyBorder="1" applyAlignment="1" applyProtection="1">
      <alignment horizontal="center" vertical="center" wrapText="1" shrinkToFit="1"/>
      <protection locked="0"/>
    </xf>
    <xf numFmtId="183" fontId="48" fillId="0" borderId="63" xfId="9" applyNumberFormat="1" applyFont="1" applyBorder="1" applyAlignment="1" applyProtection="1">
      <alignment vertical="center" shrinkToFit="1"/>
      <protection locked="0"/>
    </xf>
    <xf numFmtId="183" fontId="48" fillId="8" borderId="63" xfId="9" applyNumberFormat="1" applyFont="1" applyFill="1" applyBorder="1" applyAlignment="1" applyProtection="1">
      <alignment vertical="center" shrinkToFit="1"/>
      <protection locked="0"/>
    </xf>
    <xf numFmtId="0" fontId="48" fillId="0" borderId="63" xfId="9" applyFont="1" applyBorder="1" applyAlignment="1">
      <alignment horizontal="center" vertical="center"/>
    </xf>
    <xf numFmtId="0" fontId="48" fillId="0" borderId="64" xfId="9" applyFont="1" applyBorder="1" applyAlignment="1" applyProtection="1">
      <alignment horizontal="center" vertical="center" wrapText="1" shrinkToFit="1"/>
      <protection locked="0"/>
    </xf>
    <xf numFmtId="183" fontId="48" fillId="0" borderId="64" xfId="9" applyNumberFormat="1" applyFont="1" applyBorder="1" applyAlignment="1" applyProtection="1">
      <alignment vertical="center" shrinkToFit="1"/>
      <protection locked="0"/>
    </xf>
    <xf numFmtId="183" fontId="48" fillId="8" borderId="64" xfId="9" applyNumberFormat="1" applyFont="1" applyFill="1" applyBorder="1" applyAlignment="1" applyProtection="1">
      <alignment vertical="center" shrinkToFit="1"/>
      <protection locked="0"/>
    </xf>
    <xf numFmtId="0" fontId="48" fillId="0" borderId="64" xfId="9" applyFont="1" applyBorder="1" applyAlignment="1">
      <alignment horizontal="center" vertical="center"/>
    </xf>
    <xf numFmtId="183" fontId="52" fillId="7" borderId="65" xfId="9" applyNumberFormat="1" applyFont="1" applyFill="1" applyBorder="1">
      <alignment vertical="center"/>
    </xf>
    <xf numFmtId="183" fontId="41" fillId="7" borderId="65" xfId="9" applyNumberFormat="1" applyFont="1" applyFill="1" applyBorder="1">
      <alignment vertical="center"/>
    </xf>
    <xf numFmtId="0" fontId="57" fillId="0" borderId="2" xfId="9" applyFont="1" applyBorder="1" applyAlignment="1" applyProtection="1">
      <alignment horizontal="left" vertical="center" wrapText="1"/>
      <protection locked="0"/>
    </xf>
    <xf numFmtId="49" fontId="48" fillId="0" borderId="0" xfId="9" applyNumberFormat="1" applyFont="1" applyAlignment="1" applyProtection="1">
      <alignment horizontal="left" vertical="center" wrapText="1" indent="1"/>
      <protection locked="0"/>
    </xf>
    <xf numFmtId="49" fontId="48" fillId="0" borderId="0" xfId="9" applyNumberFormat="1" applyFont="1" applyAlignment="1">
      <alignment horizontal="left" vertical="center" wrapText="1" indent="1"/>
    </xf>
    <xf numFmtId="0" fontId="9" fillId="0" borderId="6" xfId="3" applyFont="1" applyBorder="1" applyAlignment="1">
      <alignment horizontal="left" vertical="center"/>
    </xf>
    <xf numFmtId="0" fontId="7" fillId="0" borderId="8" xfId="3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0" fontId="9" fillId="0" borderId="9" xfId="3" applyFont="1" applyBorder="1" applyAlignment="1">
      <alignment horizontal="left" vertical="center"/>
    </xf>
    <xf numFmtId="0" fontId="7" fillId="0" borderId="6" xfId="3" applyBorder="1" applyAlignment="1">
      <alignment horizontal="right" vertical="center"/>
    </xf>
    <xf numFmtId="0" fontId="21" fillId="2" borderId="21" xfId="9" applyFont="1" applyFill="1" applyBorder="1" applyAlignment="1">
      <alignment horizontal="center" vertical="center"/>
    </xf>
    <xf numFmtId="0" fontId="21" fillId="2" borderId="41" xfId="9" applyFont="1" applyFill="1" applyBorder="1" applyAlignment="1">
      <alignment horizontal="center" vertical="center"/>
    </xf>
    <xf numFmtId="0" fontId="38" fillId="2" borderId="39" xfId="9" applyFont="1" applyFill="1" applyBorder="1" applyAlignment="1">
      <alignment horizontal="left" vertical="center" indent="1"/>
    </xf>
    <xf numFmtId="0" fontId="38" fillId="0" borderId="1" xfId="9" applyFont="1" applyBorder="1" applyAlignment="1">
      <alignment horizontal="left" vertical="center" indent="1"/>
    </xf>
    <xf numFmtId="0" fontId="3" fillId="0" borderId="21" xfId="9" applyBorder="1" applyAlignment="1">
      <alignment horizontal="center" vertical="center"/>
    </xf>
    <xf numFmtId="0" fontId="3" fillId="0" borderId="41" xfId="9" applyBorder="1" applyAlignment="1">
      <alignment horizontal="center" vertical="center"/>
    </xf>
    <xf numFmtId="0" fontId="38" fillId="0" borderId="19" xfId="9" applyFont="1" applyBorder="1" applyAlignment="1">
      <alignment horizontal="left" vertical="center" indent="1"/>
    </xf>
    <xf numFmtId="0" fontId="38" fillId="0" borderId="41" xfId="9" applyFont="1" applyBorder="1" applyAlignment="1">
      <alignment horizontal="left" vertical="center" indent="1"/>
    </xf>
    <xf numFmtId="0" fontId="3" fillId="0" borderId="1" xfId="9" applyBorder="1" applyAlignment="1">
      <alignment horizontal="center" vertical="center"/>
    </xf>
    <xf numFmtId="0" fontId="2" fillId="0" borderId="1" xfId="9" applyFont="1" applyBorder="1" applyAlignment="1">
      <alignment horizontal="center" vertical="center"/>
    </xf>
    <xf numFmtId="0" fontId="21" fillId="2" borderId="1" xfId="9" applyFont="1" applyFill="1" applyBorder="1" applyAlignment="1">
      <alignment horizontal="center" vertical="center"/>
    </xf>
    <xf numFmtId="0" fontId="3" fillId="0" borderId="19" xfId="9" applyBorder="1" applyAlignment="1">
      <alignment horizontal="center" vertical="center"/>
    </xf>
    <xf numFmtId="0" fontId="21" fillId="2" borderId="19" xfId="9" applyFont="1" applyFill="1" applyBorder="1" applyAlignment="1">
      <alignment horizontal="center" vertical="center"/>
    </xf>
    <xf numFmtId="0" fontId="1" fillId="0" borderId="41" xfId="9" applyFont="1" applyBorder="1" applyAlignment="1">
      <alignment horizontal="center" vertical="center"/>
    </xf>
    <xf numFmtId="0" fontId="1" fillId="0" borderId="21" xfId="9" applyFont="1" applyBorder="1" applyAlignment="1">
      <alignment horizontal="center" vertical="center"/>
    </xf>
    <xf numFmtId="0" fontId="1" fillId="0" borderId="1" xfId="9" applyFont="1" applyBorder="1" applyAlignment="1">
      <alignment horizontal="center" vertical="center"/>
    </xf>
    <xf numFmtId="0" fontId="1" fillId="0" borderId="19" xfId="9" applyFont="1" applyBorder="1" applyAlignment="1">
      <alignment horizontal="center" vertical="center"/>
    </xf>
    <xf numFmtId="3" fontId="19" fillId="2" borderId="1" xfId="9" applyNumberFormat="1" applyFont="1" applyFill="1" applyBorder="1" applyAlignment="1">
      <alignment horizontal="right" vertical="center"/>
    </xf>
    <xf numFmtId="0" fontId="59" fillId="0" borderId="0" xfId="3" applyFont="1" applyAlignment="1">
      <alignment horizontal="left" vertical="center"/>
    </xf>
    <xf numFmtId="0" fontId="61" fillId="0" borderId="0" xfId="3" applyFont="1" applyAlignment="1">
      <alignment horizontal="left" vertical="center"/>
    </xf>
    <xf numFmtId="0" fontId="60" fillId="0" borderId="71" xfId="3" applyFont="1" applyBorder="1" applyAlignment="1">
      <alignment horizontal="left" vertical="center"/>
    </xf>
    <xf numFmtId="0" fontId="63" fillId="9" borderId="73" xfId="3" applyFont="1" applyFill="1" applyBorder="1" applyAlignment="1">
      <alignment horizontal="left" vertical="center"/>
    </xf>
    <xf numFmtId="38" fontId="63" fillId="9" borderId="72" xfId="3" applyNumberFormat="1" applyFont="1" applyFill="1" applyBorder="1" applyAlignment="1">
      <alignment horizontal="right" vertical="center"/>
    </xf>
    <xf numFmtId="0" fontId="63" fillId="9" borderId="72" xfId="3" applyFont="1" applyFill="1" applyBorder="1" applyAlignment="1">
      <alignment horizontal="right" vertical="center"/>
    </xf>
    <xf numFmtId="0" fontId="63" fillId="9" borderId="72" xfId="3" applyFont="1" applyFill="1" applyBorder="1" applyAlignment="1">
      <alignment horizontal="left" vertical="center"/>
    </xf>
    <xf numFmtId="49" fontId="63" fillId="9" borderId="72" xfId="3" applyNumberFormat="1" applyFont="1" applyFill="1" applyBorder="1" applyAlignment="1">
      <alignment horizontal="right" vertical="center"/>
    </xf>
    <xf numFmtId="49" fontId="63" fillId="9" borderId="72" xfId="3" applyNumberFormat="1" applyFont="1" applyFill="1" applyBorder="1" applyAlignment="1">
      <alignment horizontal="left" vertical="center"/>
    </xf>
    <xf numFmtId="49" fontId="60" fillId="0" borderId="0" xfId="3" applyNumberFormat="1" applyFont="1" applyAlignment="1">
      <alignment horizontal="left" vertical="center"/>
    </xf>
    <xf numFmtId="38" fontId="60" fillId="0" borderId="0" xfId="3" applyNumberFormat="1" applyFont="1" applyAlignment="1">
      <alignment horizontal="right" vertical="center"/>
    </xf>
    <xf numFmtId="0" fontId="60" fillId="0" borderId="0" xfId="3" applyFont="1" applyAlignment="1">
      <alignment horizontal="left" vertical="center"/>
    </xf>
    <xf numFmtId="178" fontId="60" fillId="0" borderId="0" xfId="4" applyFont="1" applyFill="1" applyBorder="1" applyAlignment="1">
      <alignment horizontal="right" vertical="center"/>
    </xf>
    <xf numFmtId="187" fontId="60" fillId="0" borderId="0" xfId="3" applyNumberFormat="1" applyFont="1" applyAlignment="1">
      <alignment horizontal="right" vertical="center"/>
    </xf>
    <xf numFmtId="0" fontId="59" fillId="0" borderId="0" xfId="3" applyFont="1" applyAlignment="1">
      <alignment horizontal="center" vertical="center"/>
    </xf>
    <xf numFmtId="0" fontId="63" fillId="9" borderId="73" xfId="3" applyFont="1" applyFill="1" applyBorder="1" applyAlignment="1">
      <alignment horizontal="center" vertical="center"/>
    </xf>
    <xf numFmtId="49" fontId="63" fillId="9" borderId="73" xfId="3" applyNumberFormat="1" applyFont="1" applyFill="1" applyBorder="1" applyAlignment="1">
      <alignment horizontal="center" vertical="center"/>
    </xf>
    <xf numFmtId="0" fontId="64" fillId="0" borderId="0" xfId="3" applyFont="1" applyAlignment="1">
      <alignment horizontal="left" vertical="center"/>
    </xf>
    <xf numFmtId="0" fontId="65" fillId="0" borderId="0" xfId="3" applyFont="1" applyAlignment="1">
      <alignment horizontal="left" vertical="center"/>
    </xf>
    <xf numFmtId="0" fontId="66" fillId="0" borderId="0" xfId="3" applyFont="1" applyAlignment="1">
      <alignment horizontal="left" vertical="center"/>
    </xf>
    <xf numFmtId="0" fontId="67" fillId="0" borderId="0" xfId="3" applyFont="1" applyAlignment="1">
      <alignment horizontal="left" vertical="center"/>
    </xf>
    <xf numFmtId="0" fontId="69" fillId="9" borderId="0" xfId="3" applyFont="1" applyFill="1" applyAlignment="1">
      <alignment horizontal="center" vertical="center"/>
    </xf>
    <xf numFmtId="0" fontId="69" fillId="9" borderId="0" xfId="3" applyFont="1" applyFill="1" applyAlignment="1">
      <alignment horizontal="left" vertical="center"/>
    </xf>
    <xf numFmtId="0" fontId="60" fillId="0" borderId="0" xfId="3" applyFont="1" applyAlignment="1">
      <alignment horizontal="right" vertical="center"/>
    </xf>
    <xf numFmtId="0" fontId="73" fillId="0" borderId="0" xfId="3" applyFont="1" applyAlignment="1">
      <alignment horizontal="left" vertical="center"/>
    </xf>
    <xf numFmtId="0" fontId="61" fillId="0" borderId="9" xfId="3" applyFont="1" applyBorder="1" applyAlignment="1">
      <alignment horizontal="left" vertical="center"/>
    </xf>
    <xf numFmtId="0" fontId="74" fillId="0" borderId="9" xfId="3" applyFont="1" applyBorder="1" applyAlignment="1">
      <alignment horizontal="left" vertical="center"/>
    </xf>
    <xf numFmtId="0" fontId="73" fillId="0" borderId="71" xfId="3" applyFont="1" applyBorder="1" applyAlignment="1">
      <alignment horizontal="left" vertical="center"/>
    </xf>
    <xf numFmtId="0" fontId="61" fillId="0" borderId="71" xfId="3" applyFont="1" applyBorder="1" applyAlignment="1">
      <alignment horizontal="left" vertical="center"/>
    </xf>
    <xf numFmtId="0" fontId="74" fillId="0" borderId="71" xfId="3" applyFont="1" applyBorder="1" applyAlignment="1">
      <alignment horizontal="left" vertical="center"/>
    </xf>
    <xf numFmtId="0" fontId="74" fillId="0" borderId="0" xfId="3" applyFont="1" applyAlignment="1">
      <alignment horizontal="left" vertical="center"/>
    </xf>
    <xf numFmtId="0" fontId="61" fillId="0" borderId="17" xfId="3" applyFont="1" applyBorder="1" applyAlignment="1">
      <alignment horizontal="right" vertical="center"/>
    </xf>
    <xf numFmtId="0" fontId="61" fillId="0" borderId="17" xfId="3" applyFont="1" applyBorder="1">
      <alignment vertical="center"/>
    </xf>
    <xf numFmtId="0" fontId="59" fillId="9" borderId="2" xfId="3" applyFont="1" applyFill="1" applyBorder="1" applyAlignment="1">
      <alignment horizontal="left" vertical="center"/>
    </xf>
    <xf numFmtId="0" fontId="78" fillId="0" borderId="0" xfId="13" applyFont="1"/>
    <xf numFmtId="0" fontId="78" fillId="0" borderId="0" xfId="13" applyFont="1" applyAlignment="1">
      <alignment vertical="center"/>
    </xf>
    <xf numFmtId="0" fontId="79" fillId="0" borderId="0" xfId="13" applyFont="1"/>
    <xf numFmtId="0" fontId="79" fillId="0" borderId="0" xfId="13" applyFont="1" applyAlignment="1">
      <alignment vertical="center"/>
    </xf>
    <xf numFmtId="0" fontId="54" fillId="0" borderId="0" xfId="13" applyFont="1" applyAlignment="1">
      <alignment vertical="center"/>
    </xf>
    <xf numFmtId="0" fontId="82" fillId="0" borderId="76" xfId="13" applyFont="1" applyBorder="1" applyAlignment="1">
      <alignment horizontal="center" vertical="center"/>
    </xf>
    <xf numFmtId="0" fontId="82" fillId="0" borderId="0" xfId="13" applyFont="1" applyAlignment="1">
      <alignment horizontal="center" vertical="center"/>
    </xf>
    <xf numFmtId="0" fontId="82" fillId="0" borderId="78" xfId="13" applyFont="1" applyBorder="1" applyAlignment="1">
      <alignment horizontal="center" vertical="center"/>
    </xf>
    <xf numFmtId="0" fontId="82" fillId="0" borderId="79" xfId="13" applyFont="1" applyBorder="1" applyAlignment="1">
      <alignment horizontal="center" vertical="center"/>
    </xf>
    <xf numFmtId="0" fontId="82" fillId="0" borderId="81" xfId="13" applyFont="1" applyBorder="1" applyAlignment="1">
      <alignment horizontal="center" vertical="center"/>
    </xf>
    <xf numFmtId="0" fontId="82" fillId="0" borderId="82" xfId="13" applyFont="1" applyBorder="1" applyAlignment="1">
      <alignment horizontal="center" vertical="center"/>
    </xf>
    <xf numFmtId="0" fontId="54" fillId="0" borderId="0" xfId="13" applyFont="1" applyAlignment="1">
      <alignment shrinkToFit="1"/>
    </xf>
    <xf numFmtId="0" fontId="85" fillId="0" borderId="0" xfId="13" applyFont="1" applyAlignment="1">
      <alignment vertical="center"/>
    </xf>
    <xf numFmtId="0" fontId="9" fillId="0" borderId="0" xfId="13" applyFont="1" applyAlignment="1">
      <alignment horizontal="left" vertical="center" wrapText="1"/>
    </xf>
    <xf numFmtId="6" fontId="86" fillId="10" borderId="0" xfId="13" applyNumberFormat="1" applyFont="1" applyFill="1" applyAlignment="1">
      <alignment horizontal="center" vertical="center"/>
    </xf>
    <xf numFmtId="6" fontId="86" fillId="10" borderId="10" xfId="13" applyNumberFormat="1" applyFont="1" applyFill="1" applyBorder="1" applyAlignment="1">
      <alignment horizontal="center" vertical="center"/>
    </xf>
    <xf numFmtId="0" fontId="87" fillId="2" borderId="10" xfId="13" applyFont="1" applyFill="1" applyBorder="1" applyAlignment="1">
      <alignment horizontal="center" vertical="center"/>
    </xf>
    <xf numFmtId="0" fontId="78" fillId="0" borderId="69" xfId="13" applyFont="1" applyBorder="1" applyAlignment="1">
      <alignment vertical="center"/>
    </xf>
    <xf numFmtId="0" fontId="87" fillId="12" borderId="84" xfId="13" applyFont="1" applyFill="1" applyBorder="1" applyAlignment="1">
      <alignment horizontal="center" vertical="center"/>
    </xf>
    <xf numFmtId="6" fontId="88" fillId="0" borderId="85" xfId="13" applyNumberFormat="1" applyFont="1" applyBorder="1" applyAlignment="1">
      <alignment horizontal="center" vertical="center" wrapText="1"/>
    </xf>
    <xf numFmtId="6" fontId="88" fillId="0" borderId="86" xfId="13" applyNumberFormat="1" applyFont="1" applyBorder="1" applyAlignment="1">
      <alignment horizontal="center" vertical="center" wrapText="1"/>
    </xf>
    <xf numFmtId="6" fontId="82" fillId="0" borderId="87" xfId="13" applyNumberFormat="1" applyFont="1" applyBorder="1" applyAlignment="1">
      <alignment horizontal="center" vertical="center" wrapText="1"/>
    </xf>
    <xf numFmtId="0" fontId="82" fillId="0" borderId="88" xfId="13" applyFont="1" applyBorder="1" applyAlignment="1">
      <alignment horizontal="center" vertical="center" wrapText="1"/>
    </xf>
    <xf numFmtId="6" fontId="89" fillId="0" borderId="0" xfId="13" applyNumberFormat="1" applyFont="1" applyAlignment="1">
      <alignment horizontal="center" vertical="center" wrapText="1"/>
    </xf>
    <xf numFmtId="6" fontId="89" fillId="0" borderId="89" xfId="13" applyNumberFormat="1" applyFont="1" applyBorder="1" applyAlignment="1">
      <alignment horizontal="center" vertical="center" wrapText="1"/>
    </xf>
    <xf numFmtId="6" fontId="89" fillId="0" borderId="90" xfId="14" applyNumberFormat="1" applyFont="1" applyBorder="1" applyAlignment="1">
      <alignment horizontal="center" vertical="center" wrapText="1"/>
    </xf>
    <xf numFmtId="6" fontId="89" fillId="0" borderId="92" xfId="13" applyNumberFormat="1" applyFont="1" applyBorder="1" applyAlignment="1">
      <alignment horizontal="center" vertical="center" wrapText="1"/>
    </xf>
    <xf numFmtId="6" fontId="89" fillId="0" borderId="93" xfId="13" applyNumberFormat="1" applyFont="1" applyBorder="1" applyAlignment="1">
      <alignment horizontal="center" vertical="center" wrapText="1"/>
    </xf>
    <xf numFmtId="6" fontId="89" fillId="0" borderId="93" xfId="14" applyNumberFormat="1" applyFont="1" applyBorder="1" applyAlignment="1">
      <alignment horizontal="center" vertical="center" wrapText="1"/>
    </xf>
    <xf numFmtId="190" fontId="78" fillId="0" borderId="69" xfId="13" applyNumberFormat="1" applyFont="1" applyBorder="1" applyAlignment="1">
      <alignment vertical="center"/>
    </xf>
    <xf numFmtId="6" fontId="89" fillId="0" borderId="95" xfId="13" applyNumberFormat="1" applyFont="1" applyBorder="1" applyAlignment="1">
      <alignment horizontal="center" vertical="center" wrapText="1"/>
    </xf>
    <xf numFmtId="6" fontId="89" fillId="0" borderId="90" xfId="13" applyNumberFormat="1" applyFont="1" applyBorder="1" applyAlignment="1">
      <alignment horizontal="center" vertical="center" wrapText="1"/>
    </xf>
    <xf numFmtId="190" fontId="78" fillId="0" borderId="0" xfId="13" applyNumberFormat="1" applyFont="1" applyAlignment="1">
      <alignment vertical="center"/>
    </xf>
    <xf numFmtId="0" fontId="78" fillId="0" borderId="77" xfId="13" applyFont="1" applyBorder="1" applyAlignment="1">
      <alignment vertical="center"/>
    </xf>
    <xf numFmtId="0" fontId="90" fillId="0" borderId="0" xfId="13" applyFont="1"/>
    <xf numFmtId="0" fontId="82" fillId="2" borderId="96" xfId="13" applyFont="1" applyFill="1" applyBorder="1" applyAlignment="1">
      <alignment horizontal="center" vertical="center" wrapText="1"/>
    </xf>
    <xf numFmtId="0" fontId="82" fillId="2" borderId="97" xfId="13" applyFont="1" applyFill="1" applyBorder="1" applyAlignment="1">
      <alignment horizontal="center" vertical="center" wrapText="1"/>
    </xf>
    <xf numFmtId="0" fontId="90" fillId="0" borderId="0" xfId="13" applyFont="1" applyAlignment="1">
      <alignment vertical="center"/>
    </xf>
    <xf numFmtId="0" fontId="84" fillId="0" borderId="0" xfId="13" applyFont="1" applyAlignment="1">
      <alignment shrinkToFit="1"/>
    </xf>
    <xf numFmtId="0" fontId="78" fillId="0" borderId="69" xfId="13" applyFont="1" applyBorder="1"/>
    <xf numFmtId="0" fontId="81" fillId="0" borderId="1" xfId="13" applyFont="1" applyBorder="1" applyAlignment="1">
      <alignment horizontal="left" vertical="center"/>
    </xf>
    <xf numFmtId="0" fontId="81" fillId="0" borderId="24" xfId="13" applyFont="1" applyBorder="1" applyAlignment="1">
      <alignment horizontal="left" vertical="center"/>
    </xf>
    <xf numFmtId="0" fontId="78" fillId="0" borderId="57" xfId="13" applyFont="1" applyBorder="1"/>
    <xf numFmtId="0" fontId="81" fillId="0" borderId="0" xfId="13" applyFont="1"/>
    <xf numFmtId="0" fontId="81" fillId="0" borderId="98" xfId="13" applyFont="1" applyBorder="1"/>
    <xf numFmtId="0" fontId="91" fillId="0" borderId="98" xfId="13" applyFont="1" applyBorder="1"/>
    <xf numFmtId="0" fontId="81" fillId="0" borderId="0" xfId="13" applyFont="1" applyAlignment="1">
      <alignment vertical="center"/>
    </xf>
    <xf numFmtId="0" fontId="91" fillId="0" borderId="0" xfId="13" applyFont="1" applyAlignment="1">
      <alignment vertical="center"/>
    </xf>
    <xf numFmtId="14" fontId="91" fillId="0" borderId="0" xfId="13" applyNumberFormat="1" applyFont="1" applyAlignment="1">
      <alignment horizontal="right" vertical="center"/>
    </xf>
    <xf numFmtId="191" fontId="91" fillId="0" borderId="0" xfId="13" applyNumberFormat="1" applyFont="1" applyAlignment="1">
      <alignment vertical="center"/>
    </xf>
    <xf numFmtId="0" fontId="92" fillId="0" borderId="0" xfId="13" applyFont="1" applyAlignment="1">
      <alignment vertical="center"/>
    </xf>
    <xf numFmtId="0" fontId="77" fillId="0" borderId="0" xfId="13"/>
    <xf numFmtId="0" fontId="93" fillId="0" borderId="0" xfId="13" applyFont="1"/>
    <xf numFmtId="0" fontId="94" fillId="0" borderId="0" xfId="13" applyFont="1"/>
    <xf numFmtId="0" fontId="54" fillId="0" borderId="0" xfId="13" applyFont="1" applyAlignment="1">
      <alignment horizontal="right" vertical="center"/>
    </xf>
    <xf numFmtId="0" fontId="96" fillId="0" borderId="0" xfId="13" applyFont="1"/>
    <xf numFmtId="0" fontId="97" fillId="0" borderId="0" xfId="13" applyFont="1" applyAlignment="1">
      <alignment horizontal="right" vertical="center"/>
    </xf>
    <xf numFmtId="0" fontId="97" fillId="0" borderId="0" xfId="13" applyFont="1"/>
    <xf numFmtId="0" fontId="98" fillId="0" borderId="0" xfId="13" applyFont="1"/>
    <xf numFmtId="0" fontId="97" fillId="0" borderId="76" xfId="13" applyFont="1" applyBorder="1" applyAlignment="1">
      <alignment horizontal="center" vertical="center"/>
    </xf>
    <xf numFmtId="0" fontId="99" fillId="0" borderId="0" xfId="13" applyFont="1"/>
    <xf numFmtId="0" fontId="97" fillId="13" borderId="81" xfId="13" applyFont="1" applyFill="1" applyBorder="1" applyAlignment="1">
      <alignment horizontal="center" vertical="center"/>
    </xf>
    <xf numFmtId="0" fontId="97" fillId="0" borderId="0" xfId="13" applyFont="1" applyAlignment="1">
      <alignment vertical="center"/>
    </xf>
    <xf numFmtId="6" fontId="57" fillId="13" borderId="102" xfId="13" applyNumberFormat="1" applyFont="1" applyFill="1" applyBorder="1" applyAlignment="1">
      <alignment horizontal="center" vertical="center"/>
    </xf>
    <xf numFmtId="0" fontId="57" fillId="0" borderId="0" xfId="13" applyFont="1"/>
    <xf numFmtId="176" fontId="102" fillId="0" borderId="104" xfId="15" applyNumberFormat="1" applyFont="1" applyBorder="1" applyAlignment="1">
      <alignment horizontal="center" vertical="center" wrapText="1"/>
    </xf>
    <xf numFmtId="176" fontId="102" fillId="0" borderId="23" xfId="15" applyNumberFormat="1" applyFont="1" applyBorder="1" applyAlignment="1">
      <alignment horizontal="center" vertical="center" wrapText="1"/>
    </xf>
    <xf numFmtId="0" fontId="97" fillId="0" borderId="1" xfId="13" applyFont="1" applyBorder="1" applyAlignment="1">
      <alignment horizontal="center" vertical="center" wrapText="1"/>
    </xf>
    <xf numFmtId="0" fontId="97" fillId="0" borderId="19" xfId="13" applyFont="1" applyBorder="1" applyAlignment="1">
      <alignment horizontal="center" vertical="center" wrapText="1"/>
    </xf>
    <xf numFmtId="176" fontId="102" fillId="0" borderId="39" xfId="15" applyNumberFormat="1" applyFont="1" applyBorder="1" applyAlignment="1">
      <alignment horizontal="center" vertical="center" wrapText="1"/>
    </xf>
    <xf numFmtId="0" fontId="57" fillId="14" borderId="106" xfId="13" applyFont="1" applyFill="1" applyBorder="1" applyAlignment="1">
      <alignment horizontal="center" vertical="center" wrapText="1"/>
    </xf>
    <xf numFmtId="0" fontId="57" fillId="14" borderId="107" xfId="13" applyFont="1" applyFill="1" applyBorder="1" applyAlignment="1">
      <alignment horizontal="center" vertical="center" wrapText="1"/>
    </xf>
    <xf numFmtId="0" fontId="57" fillId="14" borderId="111" xfId="13" applyFont="1" applyFill="1" applyBorder="1" applyAlignment="1">
      <alignment horizontal="center" vertical="center" wrapText="1"/>
    </xf>
    <xf numFmtId="0" fontId="97" fillId="0" borderId="98" xfId="13" applyFont="1" applyBorder="1"/>
    <xf numFmtId="0" fontId="103" fillId="0" borderId="0" xfId="13" applyFont="1"/>
    <xf numFmtId="14" fontId="57" fillId="0" borderId="112" xfId="13" applyNumberFormat="1" applyFont="1" applyBorder="1" applyAlignment="1">
      <alignment horizontal="right" vertical="center"/>
    </xf>
    <xf numFmtId="191" fontId="57" fillId="0" borderId="112" xfId="13" applyNumberFormat="1" applyFont="1" applyBorder="1" applyAlignment="1">
      <alignment vertical="center"/>
    </xf>
    <xf numFmtId="0" fontId="97" fillId="0" borderId="112" xfId="13" applyFont="1" applyBorder="1"/>
    <xf numFmtId="0" fontId="57" fillId="0" borderId="112" xfId="13" applyFont="1" applyBorder="1"/>
    <xf numFmtId="0" fontId="106" fillId="15" borderId="0" xfId="0" applyFont="1" applyFill="1" applyAlignment="1">
      <alignment vertical="center"/>
    </xf>
    <xf numFmtId="0" fontId="107" fillId="15" borderId="0" xfId="0" applyFont="1" applyFill="1" applyAlignment="1">
      <alignment vertical="center"/>
    </xf>
    <xf numFmtId="0" fontId="107" fillId="15" borderId="0" xfId="0" applyFont="1" applyFill="1" applyAlignment="1">
      <alignment horizontal="center" vertical="center"/>
    </xf>
    <xf numFmtId="0" fontId="108" fillId="15" borderId="0" xfId="0" applyFont="1" applyFill="1" applyAlignment="1">
      <alignment vertical="center"/>
    </xf>
    <xf numFmtId="192" fontId="110" fillId="16" borderId="115" xfId="0" applyNumberFormat="1" applyFont="1" applyFill="1" applyBorder="1" applyAlignment="1">
      <alignment horizontal="right" vertical="center"/>
    </xf>
    <xf numFmtId="192" fontId="112" fillId="18" borderId="122" xfId="0" applyNumberFormat="1" applyFont="1" applyFill="1" applyBorder="1" applyAlignment="1">
      <alignment horizontal="right" vertical="center"/>
    </xf>
    <xf numFmtId="192" fontId="112" fillId="18" borderId="128" xfId="0" applyNumberFormat="1" applyFont="1" applyFill="1" applyBorder="1" applyAlignment="1">
      <alignment horizontal="right" vertical="center"/>
    </xf>
    <xf numFmtId="38" fontId="114" fillId="15" borderId="134" xfId="0" applyNumberFormat="1" applyFont="1" applyFill="1" applyBorder="1" applyAlignment="1">
      <alignment horizontal="right" vertical="center"/>
    </xf>
    <xf numFmtId="38" fontId="115" fillId="15" borderId="135" xfId="0" applyNumberFormat="1" applyFont="1" applyFill="1" applyBorder="1" applyAlignment="1">
      <alignment horizontal="right" vertical="center"/>
    </xf>
    <xf numFmtId="0" fontId="115" fillId="15" borderId="135" xfId="0" applyFont="1" applyFill="1" applyBorder="1" applyAlignment="1">
      <alignment horizontal="center" vertical="center"/>
    </xf>
    <xf numFmtId="0" fontId="115" fillId="0" borderId="135" xfId="0" applyFont="1" applyBorder="1" applyAlignment="1">
      <alignment horizontal="left" vertical="center"/>
    </xf>
    <xf numFmtId="20" fontId="115" fillId="15" borderId="135" xfId="0" applyNumberFormat="1" applyFont="1" applyFill="1" applyBorder="1" applyAlignment="1">
      <alignment horizontal="left" vertical="center"/>
    </xf>
    <xf numFmtId="0" fontId="115" fillId="15" borderId="0" xfId="0" applyFont="1" applyFill="1" applyAlignment="1">
      <alignment horizontal="center" vertical="center"/>
    </xf>
    <xf numFmtId="0" fontId="116" fillId="19" borderId="119" xfId="0" applyFont="1" applyFill="1" applyBorder="1" applyAlignment="1">
      <alignment vertical="center" wrapText="1"/>
    </xf>
    <xf numFmtId="0" fontId="116" fillId="19" borderId="120" xfId="0" applyFont="1" applyFill="1" applyBorder="1" applyAlignment="1">
      <alignment vertical="center" wrapText="1"/>
    </xf>
    <xf numFmtId="38" fontId="115" fillId="0" borderId="136" xfId="0" applyNumberFormat="1" applyFont="1" applyBorder="1" applyAlignment="1">
      <alignment horizontal="right" vertical="center"/>
    </xf>
    <xf numFmtId="178" fontId="106" fillId="15" borderId="137" xfId="0" applyNumberFormat="1" applyFont="1" applyFill="1" applyBorder="1" applyAlignment="1">
      <alignment vertical="center"/>
    </xf>
    <xf numFmtId="0" fontId="106" fillId="20" borderId="138" xfId="0" applyFont="1" applyFill="1" applyBorder="1" applyAlignment="1">
      <alignment horizontal="center" vertical="center"/>
    </xf>
    <xf numFmtId="0" fontId="106" fillId="20" borderId="139" xfId="0" applyFont="1" applyFill="1" applyBorder="1" applyAlignment="1">
      <alignment horizontal="left" vertical="center"/>
    </xf>
    <xf numFmtId="0" fontId="117" fillId="0" borderId="137" xfId="0" applyFont="1" applyBorder="1"/>
    <xf numFmtId="0" fontId="116" fillId="19" borderId="124" xfId="0" applyFont="1" applyFill="1" applyBorder="1" applyAlignment="1">
      <alignment vertical="center" wrapText="1"/>
    </xf>
    <xf numFmtId="0" fontId="116" fillId="19" borderId="125" xfId="0" applyFont="1" applyFill="1" applyBorder="1" applyAlignment="1">
      <alignment vertical="center" wrapText="1"/>
    </xf>
    <xf numFmtId="0" fontId="118" fillId="2" borderId="139" xfId="0" applyFont="1" applyFill="1" applyBorder="1" applyAlignment="1">
      <alignment horizontal="left" vertical="center"/>
    </xf>
    <xf numFmtId="0" fontId="117" fillId="0" borderId="137" xfId="0" applyFont="1" applyBorder="1" applyAlignment="1">
      <alignment vertical="center"/>
    </xf>
    <xf numFmtId="178" fontId="115" fillId="20" borderId="136" xfId="0" applyNumberFormat="1" applyFont="1" applyFill="1" applyBorder="1" applyAlignment="1">
      <alignment horizontal="right" vertical="center"/>
    </xf>
    <xf numFmtId="0" fontId="119" fillId="15" borderId="0" xfId="2" applyNumberFormat="1" applyFont="1" applyFill="1" applyBorder="1" applyAlignment="1" applyProtection="1">
      <alignment horizontal="center" vertical="center"/>
    </xf>
    <xf numFmtId="0" fontId="115" fillId="21" borderId="0" xfId="0" applyFont="1" applyFill="1" applyAlignment="1">
      <alignment horizontal="center" vertical="center"/>
    </xf>
    <xf numFmtId="38" fontId="120" fillId="0" borderId="136" xfId="0" applyNumberFormat="1" applyFont="1" applyBorder="1" applyAlignment="1">
      <alignment horizontal="right" vertical="center"/>
    </xf>
    <xf numFmtId="0" fontId="120" fillId="2" borderId="137" xfId="0" applyFont="1" applyFill="1" applyBorder="1" applyAlignment="1">
      <alignment horizontal="right" vertical="center"/>
    </xf>
    <xf numFmtId="0" fontId="115" fillId="15" borderId="0" xfId="0" applyFont="1" applyFill="1" applyAlignment="1">
      <alignment horizontal="left" vertical="center"/>
    </xf>
    <xf numFmtId="178" fontId="115" fillId="20" borderId="136" xfId="1" applyFont="1" applyFill="1" applyBorder="1" applyAlignment="1">
      <alignment horizontal="right" vertical="center"/>
    </xf>
    <xf numFmtId="38" fontId="106" fillId="20" borderId="138" xfId="0" applyNumberFormat="1" applyFont="1" applyFill="1" applyBorder="1" applyAlignment="1">
      <alignment horizontal="right" vertical="center"/>
    </xf>
    <xf numFmtId="0" fontId="106" fillId="2" borderId="137" xfId="0" applyFont="1" applyFill="1" applyBorder="1" applyAlignment="1">
      <alignment horizontal="left" vertical="center"/>
    </xf>
    <xf numFmtId="38" fontId="106" fillId="15" borderId="138" xfId="0" applyNumberFormat="1" applyFont="1" applyFill="1" applyBorder="1" applyAlignment="1">
      <alignment horizontal="right" vertical="center"/>
    </xf>
    <xf numFmtId="0" fontId="120" fillId="2" borderId="139" xfId="0" applyFont="1" applyFill="1" applyBorder="1" applyAlignment="1">
      <alignment horizontal="right" vertical="center"/>
    </xf>
    <xf numFmtId="0" fontId="121" fillId="2" borderId="137" xfId="0" applyFont="1" applyFill="1" applyBorder="1" applyAlignment="1">
      <alignment horizontal="left" vertical="center"/>
    </xf>
    <xf numFmtId="0" fontId="115" fillId="2" borderId="137" xfId="0" applyFont="1" applyFill="1" applyBorder="1" applyAlignment="1">
      <alignment horizontal="left" vertical="center"/>
    </xf>
    <xf numFmtId="178" fontId="115" fillId="20" borderId="138" xfId="0" applyNumberFormat="1" applyFont="1" applyFill="1" applyBorder="1" applyAlignment="1">
      <alignment horizontal="right" vertical="center"/>
    </xf>
    <xf numFmtId="0" fontId="115" fillId="20" borderId="138" xfId="0" applyFont="1" applyFill="1" applyBorder="1" applyAlignment="1">
      <alignment horizontal="center" vertical="center"/>
    </xf>
    <xf numFmtId="178" fontId="120" fillId="20" borderId="136" xfId="1" applyFont="1" applyFill="1" applyBorder="1" applyAlignment="1">
      <alignment horizontal="right" vertical="center"/>
    </xf>
    <xf numFmtId="0" fontId="115" fillId="0" borderId="138" xfId="0" applyFont="1" applyBorder="1" applyAlignment="1">
      <alignment horizontal="center" vertical="center"/>
    </xf>
    <xf numFmtId="0" fontId="115" fillId="2" borderId="139" xfId="0" applyFont="1" applyFill="1" applyBorder="1" applyAlignment="1">
      <alignment horizontal="left" vertical="center"/>
    </xf>
    <xf numFmtId="0" fontId="115" fillId="15" borderId="138" xfId="0" applyFont="1" applyFill="1" applyBorder="1" applyAlignment="1">
      <alignment horizontal="center" vertical="center"/>
    </xf>
    <xf numFmtId="0" fontId="120" fillId="2" borderId="137" xfId="0" applyFont="1" applyFill="1" applyBorder="1" applyAlignment="1">
      <alignment horizontal="left" vertical="center"/>
    </xf>
    <xf numFmtId="0" fontId="116" fillId="19" borderId="140" xfId="0" applyFont="1" applyFill="1" applyBorder="1" applyAlignment="1">
      <alignment horizontal="center" vertical="center"/>
    </xf>
    <xf numFmtId="0" fontId="116" fillId="19" borderId="141" xfId="0" applyFont="1" applyFill="1" applyBorder="1" applyAlignment="1">
      <alignment horizontal="center" vertical="center"/>
    </xf>
    <xf numFmtId="0" fontId="115" fillId="20" borderId="0" xfId="0" applyFont="1" applyFill="1" applyAlignment="1">
      <alignment vertical="center"/>
    </xf>
    <xf numFmtId="0" fontId="115" fillId="15" borderId="124" xfId="0" applyFont="1" applyFill="1" applyBorder="1" applyAlignment="1">
      <alignment vertical="center"/>
    </xf>
    <xf numFmtId="0" fontId="115" fillId="15" borderId="0" xfId="0" applyFont="1" applyFill="1" applyAlignment="1">
      <alignment vertical="center"/>
    </xf>
    <xf numFmtId="0" fontId="115" fillId="20" borderId="0" xfId="0" applyFont="1" applyFill="1" applyAlignment="1">
      <alignment horizontal="right" vertical="center"/>
    </xf>
    <xf numFmtId="0" fontId="115" fillId="20" borderId="0" xfId="0" applyFont="1" applyFill="1" applyAlignment="1">
      <alignment horizontal="center" vertical="center"/>
    </xf>
    <xf numFmtId="0" fontId="115" fillId="15" borderId="0" xfId="0" applyFont="1" applyFill="1" applyAlignment="1">
      <alignment vertical="center" wrapText="1"/>
    </xf>
    <xf numFmtId="0" fontId="112" fillId="15" borderId="0" xfId="0" applyFont="1" applyFill="1" applyAlignment="1">
      <alignment vertical="center"/>
    </xf>
    <xf numFmtId="0" fontId="32" fillId="3" borderId="35" xfId="9" applyFont="1" applyFill="1" applyBorder="1" applyAlignment="1">
      <alignment horizontal="center" vertical="center" wrapText="1"/>
    </xf>
    <xf numFmtId="0" fontId="26" fillId="3" borderId="35" xfId="9" applyFont="1" applyFill="1" applyBorder="1" applyAlignment="1">
      <alignment horizontal="center" vertical="center"/>
    </xf>
    <xf numFmtId="38" fontId="31" fillId="2" borderId="46" xfId="9" applyNumberFormat="1" applyFont="1" applyFill="1" applyBorder="1" applyAlignment="1">
      <alignment horizontal="center" vertical="center"/>
    </xf>
    <xf numFmtId="38" fontId="31" fillId="2" borderId="49" xfId="9" applyNumberFormat="1" applyFont="1" applyFill="1" applyBorder="1" applyAlignment="1">
      <alignment horizontal="center" vertical="center"/>
    </xf>
    <xf numFmtId="0" fontId="19" fillId="3" borderId="32" xfId="9" applyFont="1" applyFill="1" applyBorder="1" applyAlignment="1">
      <alignment horizontal="center" vertical="center"/>
    </xf>
    <xf numFmtId="0" fontId="19" fillId="3" borderId="1" xfId="9" applyFont="1" applyFill="1" applyBorder="1" applyAlignment="1">
      <alignment horizontal="center" vertical="center"/>
    </xf>
    <xf numFmtId="38" fontId="19" fillId="2" borderId="23" xfId="9" applyNumberFormat="1" applyFont="1" applyFill="1" applyBorder="1" applyAlignment="1">
      <alignment horizontal="center" vertical="center"/>
    </xf>
    <xf numFmtId="38" fontId="19" fillId="2" borderId="25" xfId="9" applyNumberFormat="1" applyFont="1" applyFill="1" applyBorder="1" applyAlignment="1">
      <alignment horizontal="center" vertical="center"/>
    </xf>
    <xf numFmtId="0" fontId="37" fillId="2" borderId="22" xfId="9" applyFont="1" applyFill="1" applyBorder="1" applyAlignment="1">
      <alignment horizontal="center" vertical="center" wrapText="1"/>
    </xf>
    <xf numFmtId="0" fontId="37" fillId="2" borderId="24" xfId="9" applyFont="1" applyFill="1" applyBorder="1" applyAlignment="1">
      <alignment horizontal="center" vertical="center" wrapText="1"/>
    </xf>
    <xf numFmtId="0" fontId="37" fillId="2" borderId="20" xfId="9" applyFont="1" applyFill="1" applyBorder="1" applyAlignment="1">
      <alignment horizontal="center" vertical="center" wrapText="1"/>
    </xf>
    <xf numFmtId="0" fontId="37" fillId="2" borderId="42" xfId="9" applyFont="1" applyFill="1" applyBorder="1" applyAlignment="1">
      <alignment horizontal="center" vertical="center" wrapText="1"/>
    </xf>
    <xf numFmtId="0" fontId="37" fillId="2" borderId="56" xfId="9" applyFont="1" applyFill="1" applyBorder="1" applyAlignment="1">
      <alignment horizontal="center" vertical="center" wrapText="1"/>
    </xf>
    <xf numFmtId="0" fontId="37" fillId="2" borderId="57" xfId="9" applyFont="1" applyFill="1" applyBorder="1" applyAlignment="1">
      <alignment horizontal="center" vertical="center" wrapText="1"/>
    </xf>
    <xf numFmtId="0" fontId="37" fillId="2" borderId="18" xfId="9" applyFont="1" applyFill="1" applyBorder="1" applyAlignment="1">
      <alignment horizontal="center" vertical="center" wrapText="1"/>
    </xf>
    <xf numFmtId="0" fontId="37" fillId="2" borderId="37" xfId="9" applyFont="1" applyFill="1" applyBorder="1" applyAlignment="1">
      <alignment horizontal="center" vertical="center" wrapText="1"/>
    </xf>
    <xf numFmtId="3" fontId="19" fillId="2" borderId="21" xfId="9" applyNumberFormat="1" applyFont="1" applyFill="1" applyBorder="1" applyAlignment="1">
      <alignment horizontal="right" vertical="center"/>
    </xf>
    <xf numFmtId="3" fontId="19" fillId="2" borderId="19" xfId="9" applyNumberFormat="1" applyFont="1" applyFill="1" applyBorder="1" applyAlignment="1">
      <alignment horizontal="right" vertical="center"/>
    </xf>
    <xf numFmtId="3" fontId="19" fillId="2" borderId="41" xfId="9" applyNumberFormat="1" applyFont="1" applyFill="1" applyBorder="1" applyAlignment="1">
      <alignment horizontal="right" vertical="center"/>
    </xf>
    <xf numFmtId="0" fontId="21" fillId="2" borderId="36" xfId="9" applyFont="1" applyFill="1" applyBorder="1" applyAlignment="1">
      <alignment horizontal="center" vertical="center"/>
    </xf>
    <xf numFmtId="0" fontId="21" fillId="2" borderId="40" xfId="9" applyFont="1" applyFill="1" applyBorder="1" applyAlignment="1">
      <alignment horizontal="center" vertical="center"/>
    </xf>
    <xf numFmtId="0" fontId="19" fillId="2" borderId="18" xfId="9" applyFont="1" applyFill="1" applyBorder="1" applyAlignment="1">
      <alignment horizontal="center" vertical="center"/>
    </xf>
    <xf numFmtId="0" fontId="19" fillId="2" borderId="9" xfId="9" applyFont="1" applyFill="1" applyBorder="1" applyAlignment="1">
      <alignment horizontal="center" vertical="center"/>
    </xf>
    <xf numFmtId="0" fontId="31" fillId="2" borderId="53" xfId="9" applyFont="1" applyFill="1" applyBorder="1" applyAlignment="1">
      <alignment horizontal="left" vertical="center" wrapText="1"/>
    </xf>
    <xf numFmtId="0" fontId="19" fillId="4" borderId="51" xfId="9" applyFont="1" applyFill="1" applyBorder="1" applyAlignment="1">
      <alignment horizontal="center" vertical="center"/>
    </xf>
    <xf numFmtId="0" fontId="19" fillId="4" borderId="19" xfId="9" applyFont="1" applyFill="1" applyBorder="1" applyAlignment="1">
      <alignment horizontal="center" vertical="center"/>
    </xf>
    <xf numFmtId="0" fontId="19" fillId="4" borderId="26" xfId="9" applyFont="1" applyFill="1" applyBorder="1" applyAlignment="1">
      <alignment horizontal="center" vertical="center"/>
    </xf>
    <xf numFmtId="0" fontId="19" fillId="4" borderId="28" xfId="9" applyFont="1" applyFill="1" applyBorder="1" applyAlignment="1">
      <alignment horizontal="center" vertical="center"/>
    </xf>
    <xf numFmtId="0" fontId="19" fillId="4" borderId="27" xfId="9" applyFont="1" applyFill="1" applyBorder="1" applyAlignment="1">
      <alignment horizontal="center" vertical="center"/>
    </xf>
    <xf numFmtId="0" fontId="19" fillId="2" borderId="20" xfId="9" applyFont="1" applyFill="1" applyBorder="1" applyAlignment="1">
      <alignment horizontal="center" vertical="center" wrapText="1"/>
    </xf>
    <xf numFmtId="0" fontId="19" fillId="2" borderId="42" xfId="9" applyFont="1" applyFill="1" applyBorder="1" applyAlignment="1">
      <alignment horizontal="center" vertical="center" wrapText="1"/>
    </xf>
    <xf numFmtId="0" fontId="19" fillId="2" borderId="43" xfId="9" applyFont="1" applyFill="1" applyBorder="1" applyAlignment="1">
      <alignment horizontal="center" vertical="center" wrapText="1"/>
    </xf>
    <xf numFmtId="0" fontId="19" fillId="2" borderId="44" xfId="9" applyFont="1" applyFill="1" applyBorder="1" applyAlignment="1">
      <alignment horizontal="center" vertical="center" wrapText="1"/>
    </xf>
    <xf numFmtId="0" fontId="21" fillId="2" borderId="46" xfId="9" applyFont="1" applyFill="1" applyBorder="1" applyAlignment="1">
      <alignment horizontal="left" vertical="center" indent="1"/>
    </xf>
    <xf numFmtId="0" fontId="21" fillId="2" borderId="48" xfId="9" applyFont="1" applyFill="1" applyBorder="1" applyAlignment="1">
      <alignment horizontal="left" vertical="center" indent="1"/>
    </xf>
    <xf numFmtId="0" fontId="21" fillId="2" borderId="49" xfId="9" applyFont="1" applyFill="1" applyBorder="1" applyAlignment="1">
      <alignment horizontal="left" vertical="center" indent="1"/>
    </xf>
    <xf numFmtId="0" fontId="19" fillId="4" borderId="55" xfId="9" applyFont="1" applyFill="1" applyBorder="1" applyAlignment="1">
      <alignment horizontal="center" vertical="center"/>
    </xf>
    <xf numFmtId="0" fontId="19" fillId="4" borderId="54" xfId="9" applyFont="1" applyFill="1" applyBorder="1" applyAlignment="1">
      <alignment horizontal="center" vertical="center"/>
    </xf>
    <xf numFmtId="0" fontId="19" fillId="4" borderId="18" xfId="9" applyFont="1" applyFill="1" applyBorder="1" applyAlignment="1">
      <alignment horizontal="center" vertical="center"/>
    </xf>
    <xf numFmtId="0" fontId="19" fillId="4" borderId="37" xfId="9" applyFont="1" applyFill="1" applyBorder="1" applyAlignment="1">
      <alignment horizontal="center" vertical="center"/>
    </xf>
    <xf numFmtId="0" fontId="19" fillId="4" borderId="31" xfId="9" applyFont="1" applyFill="1" applyBorder="1" applyAlignment="1">
      <alignment horizontal="center" vertical="center"/>
    </xf>
    <xf numFmtId="0" fontId="19" fillId="4" borderId="1" xfId="9" applyFont="1" applyFill="1" applyBorder="1" applyAlignment="1">
      <alignment horizontal="center" vertical="center"/>
    </xf>
    <xf numFmtId="0" fontId="19" fillId="4" borderId="52" xfId="9" applyFont="1" applyFill="1" applyBorder="1" applyAlignment="1">
      <alignment horizontal="center" vertical="center"/>
    </xf>
    <xf numFmtId="0" fontId="19" fillId="4" borderId="33" xfId="9" applyFont="1" applyFill="1" applyBorder="1" applyAlignment="1">
      <alignment horizontal="center" vertical="center"/>
    </xf>
    <xf numFmtId="0" fontId="21" fillId="2" borderId="23" xfId="9" applyFont="1" applyFill="1" applyBorder="1" applyAlignment="1">
      <alignment horizontal="left" vertical="center" indent="1"/>
    </xf>
    <xf numFmtId="0" fontId="21" fillId="2" borderId="6" xfId="9" applyFont="1" applyFill="1" applyBorder="1" applyAlignment="1">
      <alignment horizontal="left" vertical="center" indent="1"/>
    </xf>
    <xf numFmtId="0" fontId="21" fillId="2" borderId="25" xfId="9" applyFont="1" applyFill="1" applyBorder="1" applyAlignment="1">
      <alignment horizontal="left" vertical="center" indent="1"/>
    </xf>
    <xf numFmtId="49" fontId="17" fillId="2" borderId="23" xfId="10" applyNumberFormat="1" applyFill="1" applyBorder="1" applyAlignment="1">
      <alignment horizontal="left" vertical="center" indent="1"/>
    </xf>
    <xf numFmtId="49" fontId="17" fillId="2" borderId="6" xfId="10" applyNumberFormat="1" applyFill="1" applyBorder="1" applyAlignment="1">
      <alignment horizontal="left" vertical="center" indent="1"/>
    </xf>
    <xf numFmtId="49" fontId="17" fillId="2" borderId="25" xfId="10" applyNumberFormat="1" applyFill="1" applyBorder="1" applyAlignment="1">
      <alignment horizontal="left" vertical="center" indent="1"/>
    </xf>
    <xf numFmtId="0" fontId="27" fillId="2" borderId="26" xfId="9" applyFont="1" applyFill="1" applyBorder="1" applyAlignment="1">
      <alignment horizontal="center" vertical="center"/>
    </xf>
    <xf numFmtId="0" fontId="27" fillId="2" borderId="27" xfId="9" applyFont="1" applyFill="1" applyBorder="1" applyAlignment="1">
      <alignment horizontal="center" vertical="center"/>
    </xf>
    <xf numFmtId="38" fontId="30" fillId="2" borderId="21" xfId="9" applyNumberFormat="1" applyFont="1" applyFill="1" applyBorder="1" applyAlignment="1">
      <alignment horizontal="right" vertical="center"/>
    </xf>
    <xf numFmtId="0" fontId="30" fillId="2" borderId="45" xfId="9" applyFont="1" applyFill="1" applyBorder="1" applyAlignment="1">
      <alignment horizontal="right" vertical="center"/>
    </xf>
    <xf numFmtId="0" fontId="27" fillId="2" borderId="23" xfId="9" applyFont="1" applyFill="1" applyBorder="1" applyAlignment="1">
      <alignment horizontal="center" vertical="center"/>
    </xf>
    <xf numFmtId="0" fontId="27" fillId="2" borderId="24" xfId="9" applyFont="1" applyFill="1" applyBorder="1" applyAlignment="1">
      <alignment horizontal="center" vertical="center"/>
    </xf>
    <xf numFmtId="0" fontId="27" fillId="2" borderId="46" xfId="9" applyFont="1" applyFill="1" applyBorder="1" applyAlignment="1">
      <alignment horizontal="center" vertical="center"/>
    </xf>
    <xf numFmtId="0" fontId="27" fillId="2" borderId="47" xfId="9" applyFont="1" applyFill="1" applyBorder="1" applyAlignment="1">
      <alignment horizontal="center" vertical="center"/>
    </xf>
    <xf numFmtId="0" fontId="19" fillId="2" borderId="38" xfId="9" applyFont="1" applyFill="1" applyBorder="1" applyAlignment="1">
      <alignment horizontal="center" vertical="center"/>
    </xf>
    <xf numFmtId="0" fontId="19" fillId="2" borderId="27" xfId="9" applyFont="1" applyFill="1" applyBorder="1" applyAlignment="1">
      <alignment horizontal="center" vertical="center"/>
    </xf>
    <xf numFmtId="0" fontId="19" fillId="2" borderId="37" xfId="9" applyFont="1" applyFill="1" applyBorder="1" applyAlignment="1">
      <alignment horizontal="center" vertical="center"/>
    </xf>
    <xf numFmtId="0" fontId="19" fillId="2" borderId="20" xfId="9" applyFont="1" applyFill="1" applyBorder="1" applyAlignment="1">
      <alignment horizontal="center" vertical="center"/>
    </xf>
    <xf numFmtId="0" fontId="19" fillId="2" borderId="2" xfId="9" applyFont="1" applyFill="1" applyBorder="1" applyAlignment="1">
      <alignment horizontal="center" vertical="center"/>
    </xf>
    <xf numFmtId="0" fontId="19" fillId="2" borderId="22" xfId="9" applyFont="1" applyFill="1" applyBorder="1" applyAlignment="1">
      <alignment horizontal="center" vertical="center"/>
    </xf>
    <xf numFmtId="0" fontId="19" fillId="2" borderId="6" xfId="9" applyFont="1" applyFill="1" applyBorder="1" applyAlignment="1">
      <alignment horizontal="center" vertical="center"/>
    </xf>
    <xf numFmtId="0" fontId="34" fillId="2" borderId="23" xfId="9" applyFont="1" applyFill="1" applyBorder="1" applyAlignment="1">
      <alignment horizontal="left" vertical="center" indent="1"/>
    </xf>
    <xf numFmtId="0" fontId="22" fillId="2" borderId="26" xfId="9" applyFont="1" applyFill="1" applyBorder="1" applyAlignment="1">
      <alignment horizontal="left" vertical="center" indent="1"/>
    </xf>
    <xf numFmtId="0" fontId="21" fillId="2" borderId="28" xfId="9" applyFont="1" applyFill="1" applyBorder="1" applyAlignment="1">
      <alignment horizontal="left" vertical="center" indent="1"/>
    </xf>
    <xf numFmtId="0" fontId="21" fillId="2" borderId="29" xfId="9" applyFont="1" applyFill="1" applyBorder="1" applyAlignment="1">
      <alignment horizontal="left" vertical="center" indent="1"/>
    </xf>
    <xf numFmtId="0" fontId="24" fillId="2" borderId="23" xfId="9" applyFont="1" applyFill="1" applyBorder="1" applyAlignment="1">
      <alignment horizontal="left" vertical="center" indent="1"/>
    </xf>
    <xf numFmtId="0" fontId="24" fillId="2" borderId="6" xfId="9" applyFont="1" applyFill="1" applyBorder="1" applyAlignment="1">
      <alignment horizontal="left" vertical="center" indent="1"/>
    </xf>
    <xf numFmtId="0" fontId="24" fillId="2" borderId="25" xfId="9" applyFont="1" applyFill="1" applyBorder="1" applyAlignment="1">
      <alignment horizontal="left" vertical="center" indent="1"/>
    </xf>
    <xf numFmtId="178" fontId="9" fillId="0" borderId="10" xfId="4" applyFont="1" applyBorder="1" applyAlignment="1">
      <alignment horizontal="center" vertical="center"/>
    </xf>
    <xf numFmtId="178" fontId="9" fillId="0" borderId="0" xfId="4" applyFont="1" applyBorder="1" applyAlignment="1">
      <alignment horizontal="center" vertical="center"/>
    </xf>
    <xf numFmtId="178" fontId="9" fillId="0" borderId="7" xfId="4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7" fillId="0" borderId="0" xfId="3" applyAlignment="1">
      <alignment horizontal="center" vertical="center"/>
    </xf>
    <xf numFmtId="0" fontId="9" fillId="0" borderId="5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0" fontId="13" fillId="0" borderId="7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 wrapText="1"/>
    </xf>
    <xf numFmtId="0" fontId="9" fillId="0" borderId="9" xfId="3" applyFont="1" applyBorder="1" applyAlignment="1">
      <alignment horizontal="left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2" xfId="3" applyBorder="1" applyAlignment="1">
      <alignment horizontal="left" vertical="center"/>
    </xf>
    <xf numFmtId="0" fontId="7" fillId="0" borderId="9" xfId="3" applyBorder="1" applyAlignment="1">
      <alignment horizontal="left" vertical="center"/>
    </xf>
    <xf numFmtId="14" fontId="7" fillId="0" borderId="5" xfId="3" applyNumberFormat="1" applyBorder="1" applyAlignment="1">
      <alignment horizontal="left" vertical="center"/>
    </xf>
    <xf numFmtId="0" fontId="9" fillId="0" borderId="6" xfId="3" applyFont="1" applyBorder="1" applyAlignment="1">
      <alignment horizontal="left" vertical="center"/>
    </xf>
    <xf numFmtId="0" fontId="9" fillId="0" borderId="6" xfId="3" quotePrefix="1" applyFont="1" applyBorder="1" applyAlignment="1">
      <alignment horizontal="left" vertical="center"/>
    </xf>
    <xf numFmtId="0" fontId="7" fillId="0" borderId="11" xfId="3" applyBorder="1" applyAlignment="1">
      <alignment horizontal="left" vertical="center" wrapText="1"/>
    </xf>
    <xf numFmtId="0" fontId="7" fillId="0" borderId="10" xfId="3" applyBorder="1" applyAlignment="1">
      <alignment horizontal="left" vertical="center"/>
    </xf>
    <xf numFmtId="0" fontId="7" fillId="0" borderId="12" xfId="3" applyBorder="1" applyAlignment="1">
      <alignment horizontal="left" vertical="center"/>
    </xf>
    <xf numFmtId="0" fontId="7" fillId="0" borderId="13" xfId="3" applyBorder="1" applyAlignment="1">
      <alignment horizontal="left" vertical="center"/>
    </xf>
    <xf numFmtId="0" fontId="7" fillId="0" borderId="0" xfId="3" applyAlignment="1">
      <alignment horizontal="left" vertical="center"/>
    </xf>
    <xf numFmtId="0" fontId="7" fillId="0" borderId="14" xfId="3" applyBorder="1" applyAlignment="1">
      <alignment horizontal="left" vertical="center"/>
    </xf>
    <xf numFmtId="0" fontId="7" fillId="0" borderId="15" xfId="3" applyBorder="1" applyAlignment="1">
      <alignment horizontal="left" vertical="center"/>
    </xf>
    <xf numFmtId="0" fontId="7" fillId="0" borderId="7" xfId="3" applyBorder="1" applyAlignment="1">
      <alignment horizontal="left" vertical="center"/>
    </xf>
    <xf numFmtId="0" fontId="7" fillId="0" borderId="16" xfId="3" applyBorder="1" applyAlignment="1">
      <alignment horizontal="left" vertical="center"/>
    </xf>
    <xf numFmtId="0" fontId="10" fillId="0" borderId="8" xfId="3" applyFont="1" applyBorder="1" applyAlignment="1">
      <alignment horizontal="left" vertical="center"/>
    </xf>
    <xf numFmtId="0" fontId="10" fillId="0" borderId="6" xfId="3" applyFont="1" applyBorder="1" applyAlignment="1">
      <alignment horizontal="center" vertical="center"/>
    </xf>
    <xf numFmtId="3" fontId="9" fillId="0" borderId="6" xfId="3" applyNumberFormat="1" applyFont="1" applyBorder="1" applyAlignment="1">
      <alignment horizontal="left" vertical="center"/>
    </xf>
    <xf numFmtId="3" fontId="12" fillId="0" borderId="6" xfId="3" applyNumberFormat="1" applyFont="1" applyBorder="1" applyAlignment="1">
      <alignment horizontal="left" vertical="center"/>
    </xf>
    <xf numFmtId="0" fontId="12" fillId="0" borderId="6" xfId="3" applyFont="1" applyBorder="1" applyAlignment="1">
      <alignment horizontal="left" vertical="center"/>
    </xf>
    <xf numFmtId="0" fontId="14" fillId="0" borderId="5" xfId="3" applyFont="1" applyBorder="1" applyAlignment="1">
      <alignment horizontal="left" vertical="center"/>
    </xf>
    <xf numFmtId="178" fontId="49" fillId="0" borderId="0" xfId="12" applyFont="1" applyBorder="1" applyAlignment="1">
      <alignment horizontal="left" vertical="center" wrapText="1"/>
    </xf>
    <xf numFmtId="178" fontId="40" fillId="0" borderId="0" xfId="12" applyFont="1" applyAlignment="1">
      <alignment horizontal="left" vertical="center" wrapText="1"/>
    </xf>
    <xf numFmtId="178" fontId="40" fillId="0" borderId="7" xfId="12" applyFont="1" applyBorder="1" applyAlignment="1">
      <alignment horizontal="left" vertical="center" wrapText="1"/>
    </xf>
    <xf numFmtId="0" fontId="48" fillId="0" borderId="0" xfId="9" applyFont="1" applyAlignment="1">
      <alignment horizontal="right" vertical="center"/>
    </xf>
    <xf numFmtId="0" fontId="40" fillId="0" borderId="0" xfId="9" applyFont="1" applyAlignment="1">
      <alignment horizontal="right" vertical="center"/>
    </xf>
    <xf numFmtId="179" fontId="41" fillId="0" borderId="7" xfId="9" applyNumberFormat="1" applyFont="1" applyBorder="1" applyAlignment="1">
      <alignment horizontal="right" vertical="center" wrapText="1"/>
    </xf>
    <xf numFmtId="179" fontId="39" fillId="0" borderId="7" xfId="9" applyNumberFormat="1" applyFont="1" applyBorder="1" applyAlignment="1">
      <alignment horizontal="right" vertical="center"/>
    </xf>
    <xf numFmtId="0" fontId="48" fillId="0" borderId="0" xfId="9" applyFont="1" applyAlignment="1">
      <alignment horizontal="center" vertical="center"/>
    </xf>
    <xf numFmtId="0" fontId="51" fillId="0" borderId="0" xfId="9" applyFont="1" applyAlignment="1" applyProtection="1">
      <alignment horizontal="left" vertical="center" indent="1" shrinkToFit="1"/>
      <protection locked="0"/>
    </xf>
    <xf numFmtId="0" fontId="40" fillId="0" borderId="0" xfId="9" applyFont="1" applyAlignment="1">
      <alignment horizontal="left" vertical="center" indent="1" shrinkToFit="1"/>
    </xf>
    <xf numFmtId="0" fontId="52" fillId="0" borderId="59" xfId="9" applyFont="1" applyBorder="1" applyAlignment="1">
      <alignment horizontal="center" vertical="center"/>
    </xf>
    <xf numFmtId="0" fontId="44" fillId="0" borderId="60" xfId="9" applyFont="1" applyBorder="1" applyAlignment="1">
      <alignment horizontal="center" vertical="center" wrapText="1"/>
    </xf>
    <xf numFmtId="0" fontId="44" fillId="0" borderId="60" xfId="9" applyFont="1" applyBorder="1" applyAlignment="1">
      <alignment horizontal="center" vertical="center"/>
    </xf>
    <xf numFmtId="49" fontId="51" fillId="0" borderId="0" xfId="9" applyNumberFormat="1" applyFont="1" applyAlignment="1" applyProtection="1">
      <alignment vertical="center" shrinkToFit="1"/>
      <protection locked="0"/>
    </xf>
    <xf numFmtId="0" fontId="53" fillId="0" borderId="0" xfId="9" applyFont="1">
      <alignment vertical="center"/>
    </xf>
    <xf numFmtId="0" fontId="54" fillId="0" borderId="0" xfId="9" applyFont="1" applyAlignment="1">
      <alignment horizontal="left" vertical="top" indent="1"/>
    </xf>
    <xf numFmtId="0" fontId="40" fillId="0" borderId="0" xfId="9" applyFont="1" applyAlignment="1">
      <alignment horizontal="left" vertical="top" indent="1"/>
    </xf>
    <xf numFmtId="49" fontId="54" fillId="0" borderId="0" xfId="9" applyNumberFormat="1" applyFont="1" applyProtection="1">
      <alignment vertical="center"/>
      <protection locked="0"/>
    </xf>
    <xf numFmtId="0" fontId="54" fillId="0" borderId="0" xfId="9" applyFont="1">
      <alignment vertical="center"/>
    </xf>
    <xf numFmtId="0" fontId="52" fillId="0" borderId="62" xfId="9" applyFont="1" applyBorder="1" applyAlignment="1">
      <alignment horizontal="center" vertical="center"/>
    </xf>
    <xf numFmtId="0" fontId="48" fillId="0" borderId="0" xfId="9" applyFont="1">
      <alignment vertical="center"/>
    </xf>
    <xf numFmtId="0" fontId="40" fillId="0" borderId="0" xfId="9" applyFont="1">
      <alignment vertical="center"/>
    </xf>
    <xf numFmtId="0" fontId="54" fillId="0" borderId="0" xfId="9" applyFont="1" applyAlignment="1">
      <alignment horizontal="left" vertical="center" indent="1"/>
    </xf>
    <xf numFmtId="180" fontId="50" fillId="0" borderId="0" xfId="9" applyNumberFormat="1" applyFont="1" applyAlignment="1">
      <alignment horizontal="left" indent="1"/>
    </xf>
    <xf numFmtId="0" fontId="40" fillId="0" borderId="0" xfId="9" applyFont="1" applyAlignment="1">
      <alignment horizontal="left" indent="1"/>
    </xf>
    <xf numFmtId="0" fontId="58" fillId="0" borderId="9" xfId="2" applyFont="1" applyFill="1" applyBorder="1" applyAlignment="1">
      <alignment vertical="center"/>
    </xf>
    <xf numFmtId="0" fontId="54" fillId="0" borderId="9" xfId="9" applyFont="1" applyBorder="1">
      <alignment vertical="center"/>
    </xf>
    <xf numFmtId="0" fontId="48" fillId="0" borderId="61" xfId="9" applyFont="1" applyBorder="1" applyAlignment="1">
      <alignment horizontal="center" vertical="center"/>
    </xf>
    <xf numFmtId="181" fontId="42" fillId="7" borderId="0" xfId="9" applyNumberFormat="1" applyFont="1" applyFill="1" applyAlignment="1">
      <alignment horizontal="right" vertical="center"/>
    </xf>
    <xf numFmtId="182" fontId="44" fillId="7" borderId="0" xfId="9" applyNumberFormat="1" applyFont="1" applyFill="1" applyAlignment="1">
      <alignment horizontal="left" vertical="center" shrinkToFit="1"/>
    </xf>
    <xf numFmtId="182" fontId="40" fillId="7" borderId="0" xfId="9" applyNumberFormat="1" applyFont="1" applyFill="1" applyAlignment="1">
      <alignment horizontal="left" vertical="center" shrinkToFit="1"/>
    </xf>
    <xf numFmtId="0" fontId="52" fillId="0" borderId="4" xfId="9" applyFont="1" applyBorder="1" applyAlignment="1">
      <alignment horizontal="center" vertical="center" wrapText="1"/>
    </xf>
    <xf numFmtId="0" fontId="48" fillId="0" borderId="63" xfId="9" applyFont="1" applyBorder="1" applyAlignment="1" applyProtection="1">
      <alignment horizontal="left" vertical="center" wrapText="1"/>
      <protection locked="0"/>
    </xf>
    <xf numFmtId="0" fontId="48" fillId="0" borderId="63" xfId="9" applyFont="1" applyBorder="1" applyAlignment="1">
      <alignment horizontal="left" vertical="center" wrapText="1"/>
    </xf>
    <xf numFmtId="180" fontId="48" fillId="0" borderId="63" xfId="9" applyNumberFormat="1" applyFont="1" applyBorder="1" applyAlignment="1" applyProtection="1">
      <alignment vertical="center" shrinkToFit="1"/>
      <protection locked="0"/>
    </xf>
    <xf numFmtId="180" fontId="48" fillId="0" borderId="64" xfId="9" applyNumberFormat="1" applyFont="1" applyBorder="1" applyAlignment="1" applyProtection="1">
      <alignment vertical="center" shrinkToFit="1"/>
      <protection locked="0"/>
    </xf>
    <xf numFmtId="0" fontId="48" fillId="0" borderId="64" xfId="9" applyFont="1" applyBorder="1" applyAlignment="1" applyProtection="1">
      <alignment vertical="center" wrapText="1"/>
      <protection locked="0"/>
    </xf>
    <xf numFmtId="0" fontId="48" fillId="0" borderId="64" xfId="9" applyFont="1" applyBorder="1" applyAlignment="1">
      <alignment vertical="center" wrapText="1"/>
    </xf>
    <xf numFmtId="0" fontId="48" fillId="0" borderId="64" xfId="9" applyFont="1" applyBorder="1" applyAlignment="1" applyProtection="1">
      <alignment horizontal="left" vertical="center" wrapText="1"/>
      <protection locked="0"/>
    </xf>
    <xf numFmtId="0" fontId="48" fillId="0" borderId="64" xfId="9" applyFont="1" applyBorder="1" applyAlignment="1" applyProtection="1">
      <alignment horizontal="left" vertical="center" wrapText="1" indent="1"/>
      <protection locked="0"/>
    </xf>
    <xf numFmtId="0" fontId="48" fillId="0" borderId="64" xfId="9" applyFont="1" applyBorder="1" applyAlignment="1">
      <alignment horizontal="left" vertical="center" wrapText="1" indent="1"/>
    </xf>
    <xf numFmtId="49" fontId="48" fillId="0" borderId="0" xfId="9" applyNumberFormat="1" applyFont="1" applyAlignment="1" applyProtection="1">
      <alignment horizontal="left" vertical="center" wrapText="1"/>
      <protection locked="0"/>
    </xf>
    <xf numFmtId="49" fontId="48" fillId="0" borderId="0" xfId="9" applyNumberFormat="1" applyFont="1" applyAlignment="1">
      <alignment horizontal="left" vertical="center" wrapText="1"/>
    </xf>
    <xf numFmtId="184" fontId="56" fillId="7" borderId="65" xfId="9" applyNumberFormat="1" applyFont="1" applyFill="1" applyBorder="1" applyAlignment="1" applyProtection="1">
      <alignment horizontal="left" vertical="center" wrapText="1" indent="1"/>
      <protection locked="0"/>
    </xf>
    <xf numFmtId="0" fontId="48" fillId="0" borderId="3" xfId="9" applyFont="1" applyBorder="1" applyAlignment="1" applyProtection="1">
      <alignment horizontal="center" vertical="center" wrapText="1"/>
      <protection locked="0"/>
    </xf>
    <xf numFmtId="0" fontId="57" fillId="0" borderId="0" xfId="9" applyFont="1" applyAlignment="1" applyProtection="1">
      <alignment horizontal="left" vertical="center" wrapText="1"/>
      <protection locked="0"/>
    </xf>
    <xf numFmtId="49" fontId="48" fillId="0" borderId="66" xfId="9" applyNumberFormat="1" applyFont="1" applyBorder="1" applyAlignment="1" applyProtection="1">
      <alignment horizontal="left" vertical="center" wrapText="1"/>
      <protection locked="0"/>
    </xf>
    <xf numFmtId="49" fontId="48" fillId="0" borderId="66" xfId="9" applyNumberFormat="1" applyFont="1" applyBorder="1" applyAlignment="1">
      <alignment horizontal="left" vertical="center" wrapText="1"/>
    </xf>
    <xf numFmtId="0" fontId="60" fillId="0" borderId="0" xfId="3" applyFont="1" applyAlignment="1">
      <alignment horizontal="center" vertical="center"/>
    </xf>
    <xf numFmtId="186" fontId="60" fillId="0" borderId="0" xfId="3" applyNumberFormat="1" applyFont="1" applyAlignment="1">
      <alignment horizontal="center" vertical="center"/>
    </xf>
    <xf numFmtId="187" fontId="60" fillId="0" borderId="0" xfId="3" applyNumberFormat="1" applyFont="1">
      <alignment vertical="center"/>
    </xf>
    <xf numFmtId="178" fontId="60" fillId="0" borderId="0" xfId="4" applyFont="1" applyFill="1" applyBorder="1" applyAlignment="1">
      <alignment horizontal="right" vertical="center"/>
    </xf>
    <xf numFmtId="49" fontId="63" fillId="9" borderId="73" xfId="3" applyNumberFormat="1" applyFont="1" applyFill="1" applyBorder="1" applyAlignment="1">
      <alignment horizontal="center" vertical="center"/>
    </xf>
    <xf numFmtId="188" fontId="68" fillId="9" borderId="0" xfId="3" applyNumberFormat="1" applyFont="1" applyFill="1" applyAlignment="1">
      <alignment horizontal="right" vertical="center"/>
    </xf>
    <xf numFmtId="188" fontId="68" fillId="9" borderId="0" xfId="3" applyNumberFormat="1" applyFont="1" applyFill="1">
      <alignment vertical="center"/>
    </xf>
    <xf numFmtId="0" fontId="70" fillId="9" borderId="0" xfId="3" applyFont="1" applyFill="1" applyAlignment="1">
      <alignment horizontal="right" vertical="center"/>
    </xf>
    <xf numFmtId="0" fontId="63" fillId="9" borderId="73" xfId="3" applyFont="1" applyFill="1" applyBorder="1" applyAlignment="1">
      <alignment horizontal="center" vertical="center"/>
    </xf>
    <xf numFmtId="0" fontId="60" fillId="0" borderId="72" xfId="3" applyFont="1" applyBorder="1" applyAlignment="1">
      <alignment horizontal="left" vertical="center"/>
    </xf>
    <xf numFmtId="0" fontId="60" fillId="0" borderId="17" xfId="3" applyFont="1" applyBorder="1" applyAlignment="1">
      <alignment horizontal="left" vertical="center"/>
    </xf>
    <xf numFmtId="185" fontId="60" fillId="0" borderId="0" xfId="3" applyNumberFormat="1" applyFont="1">
      <alignment vertical="center"/>
    </xf>
    <xf numFmtId="38" fontId="60" fillId="0" borderId="0" xfId="3" applyNumberFormat="1" applyFont="1" applyAlignment="1">
      <alignment horizontal="right" vertical="center"/>
    </xf>
    <xf numFmtId="0" fontId="75" fillId="0" borderId="0" xfId="3" applyFont="1" applyAlignment="1">
      <alignment horizontal="center" vertical="center"/>
    </xf>
    <xf numFmtId="0" fontId="61" fillId="0" borderId="71" xfId="3" applyFont="1" applyBorder="1" applyAlignment="1">
      <alignment horizontal="center" vertical="center"/>
    </xf>
    <xf numFmtId="0" fontId="74" fillId="0" borderId="74" xfId="3" applyFont="1" applyBorder="1" applyAlignment="1">
      <alignment horizontal="left" vertical="center"/>
    </xf>
    <xf numFmtId="0" fontId="76" fillId="0" borderId="0" xfId="3" applyFont="1" applyAlignment="1">
      <alignment horizontal="center" vertical="top"/>
    </xf>
    <xf numFmtId="0" fontId="74" fillId="9" borderId="71" xfId="3" applyFont="1" applyFill="1" applyBorder="1" applyAlignment="1">
      <alignment horizontal="left" vertical="center"/>
    </xf>
    <xf numFmtId="0" fontId="74" fillId="0" borderId="71" xfId="3" applyFont="1" applyBorder="1" applyAlignment="1">
      <alignment horizontal="left" vertical="center"/>
    </xf>
    <xf numFmtId="0" fontId="61" fillId="0" borderId="71" xfId="3" applyFont="1" applyBorder="1" applyAlignment="1">
      <alignment horizontal="center" vertical="center" wrapText="1"/>
    </xf>
    <xf numFmtId="0" fontId="61" fillId="0" borderId="74" xfId="3" applyFont="1" applyBorder="1" applyAlignment="1">
      <alignment horizontal="left" vertical="center" wrapText="1"/>
    </xf>
    <xf numFmtId="0" fontId="61" fillId="0" borderId="74" xfId="3" applyFont="1" applyBorder="1" applyAlignment="1">
      <alignment horizontal="left" vertical="center"/>
    </xf>
    <xf numFmtId="0" fontId="61" fillId="0" borderId="71" xfId="3" applyFont="1" applyBorder="1" applyAlignment="1">
      <alignment horizontal="left" vertical="center"/>
    </xf>
    <xf numFmtId="0" fontId="61" fillId="0" borderId="9" xfId="3" applyFont="1" applyBorder="1" applyAlignment="1">
      <alignment horizontal="left" vertical="center"/>
    </xf>
    <xf numFmtId="189" fontId="60" fillId="0" borderId="71" xfId="3" applyNumberFormat="1" applyFont="1" applyBorder="1" applyAlignment="1">
      <alignment horizontal="left" vertical="center"/>
    </xf>
    <xf numFmtId="0" fontId="60" fillId="0" borderId="71" xfId="3" applyFont="1" applyBorder="1" applyAlignment="1">
      <alignment horizontal="left" vertical="center"/>
    </xf>
    <xf numFmtId="0" fontId="74" fillId="0" borderId="9" xfId="3" applyFont="1" applyBorder="1" applyAlignment="1">
      <alignment horizontal="left" vertical="center"/>
    </xf>
    <xf numFmtId="0" fontId="71" fillId="9" borderId="0" xfId="3" applyFont="1" applyFill="1" applyAlignment="1">
      <alignment horizontal="left" vertical="center"/>
    </xf>
    <xf numFmtId="38" fontId="60" fillId="0" borderId="71" xfId="3" applyNumberFormat="1" applyFont="1" applyBorder="1" applyAlignment="1">
      <alignment horizontal="right" vertical="center"/>
    </xf>
    <xf numFmtId="49" fontId="63" fillId="9" borderId="72" xfId="3" applyNumberFormat="1" applyFont="1" applyFill="1" applyBorder="1" applyAlignment="1">
      <alignment horizontal="left" vertical="center"/>
    </xf>
    <xf numFmtId="49" fontId="63" fillId="9" borderId="72" xfId="3" applyNumberFormat="1" applyFont="1" applyFill="1" applyBorder="1" applyAlignment="1">
      <alignment horizontal="right" vertical="center"/>
    </xf>
    <xf numFmtId="38" fontId="63" fillId="9" borderId="72" xfId="3" applyNumberFormat="1" applyFont="1" applyFill="1" applyBorder="1" applyAlignment="1">
      <alignment horizontal="right" vertical="center"/>
    </xf>
    <xf numFmtId="0" fontId="41" fillId="2" borderId="1" xfId="9" applyFont="1" applyFill="1" applyBorder="1" applyAlignment="1">
      <alignment horizontal="center" vertical="center" wrapText="1"/>
    </xf>
    <xf numFmtId="178" fontId="39" fillId="2" borderId="1" xfId="1" applyFont="1" applyFill="1" applyBorder="1" applyAlignment="1">
      <alignment horizontal="center" vertical="center"/>
    </xf>
    <xf numFmtId="0" fontId="41" fillId="2" borderId="67" xfId="9" applyFont="1" applyFill="1" applyBorder="1" applyAlignment="1">
      <alignment horizontal="center" vertical="center"/>
    </xf>
    <xf numFmtId="0" fontId="41" fillId="2" borderId="68" xfId="9" applyFont="1" applyFill="1" applyBorder="1" applyAlignment="1">
      <alignment horizontal="center" vertical="center"/>
    </xf>
    <xf numFmtId="0" fontId="41" fillId="2" borderId="69" xfId="9" applyFont="1" applyFill="1" applyBorder="1" applyAlignment="1">
      <alignment horizontal="center" vertical="center"/>
    </xf>
    <xf numFmtId="0" fontId="41" fillId="2" borderId="57" xfId="9" applyFont="1" applyFill="1" applyBorder="1" applyAlignment="1">
      <alignment horizontal="center" vertical="center"/>
    </xf>
    <xf numFmtId="0" fontId="41" fillId="2" borderId="39" xfId="9" applyFont="1" applyFill="1" applyBorder="1" applyAlignment="1">
      <alignment horizontal="center" vertical="center"/>
    </xf>
    <xf numFmtId="0" fontId="41" fillId="2" borderId="37" xfId="9" applyFont="1" applyFill="1" applyBorder="1" applyAlignment="1">
      <alignment horizontal="center" vertical="center"/>
    </xf>
    <xf numFmtId="178" fontId="41" fillId="2" borderId="70" xfId="1" applyFont="1" applyFill="1" applyBorder="1" applyAlignment="1">
      <alignment horizontal="center" vertical="center"/>
    </xf>
    <xf numFmtId="178" fontId="41" fillId="2" borderId="41" xfId="1" applyFont="1" applyFill="1" applyBorder="1" applyAlignment="1">
      <alignment horizontal="center" vertical="center"/>
    </xf>
    <xf numFmtId="178" fontId="41" fillId="2" borderId="19" xfId="1" applyFont="1" applyFill="1" applyBorder="1" applyAlignment="1">
      <alignment horizontal="center" vertical="center"/>
    </xf>
    <xf numFmtId="178" fontId="39" fillId="2" borderId="70" xfId="1" applyFont="1" applyFill="1" applyBorder="1" applyAlignment="1">
      <alignment horizontal="center" vertical="center"/>
    </xf>
    <xf numFmtId="178" fontId="39" fillId="2" borderId="41" xfId="1" applyFont="1" applyFill="1" applyBorder="1" applyAlignment="1">
      <alignment horizontal="center" vertical="center"/>
    </xf>
    <xf numFmtId="178" fontId="39" fillId="2" borderId="19" xfId="1" applyFont="1" applyFill="1" applyBorder="1" applyAlignment="1">
      <alignment horizontal="center" vertical="center"/>
    </xf>
    <xf numFmtId="0" fontId="41" fillId="6" borderId="58" xfId="9" applyFont="1" applyFill="1" applyBorder="1" applyAlignment="1">
      <alignment horizontal="center" vertical="center"/>
    </xf>
    <xf numFmtId="49" fontId="45" fillId="2" borderId="1" xfId="10" applyNumberFormat="1" applyFont="1" applyFill="1" applyBorder="1" applyAlignment="1">
      <alignment horizontal="left" vertical="center" indent="1"/>
    </xf>
    <xf numFmtId="0" fontId="41" fillId="2" borderId="1" xfId="9" applyFont="1" applyFill="1" applyBorder="1" applyAlignment="1">
      <alignment horizontal="center" vertical="center"/>
    </xf>
    <xf numFmtId="0" fontId="39" fillId="2" borderId="1" xfId="9" applyFont="1" applyFill="1" applyBorder="1" applyAlignment="1">
      <alignment horizontal="left" vertical="center" indent="1"/>
    </xf>
    <xf numFmtId="0" fontId="46" fillId="3" borderId="1" xfId="9" applyFont="1" applyFill="1" applyBorder="1" applyAlignment="1">
      <alignment horizontal="center" vertical="center"/>
    </xf>
    <xf numFmtId="178" fontId="46" fillId="2" borderId="1" xfId="1" applyFont="1" applyFill="1" applyBorder="1" applyAlignment="1">
      <alignment horizontal="center" vertical="center"/>
    </xf>
    <xf numFmtId="178" fontId="41" fillId="2" borderId="1" xfId="1" applyFont="1" applyFill="1" applyBorder="1" applyAlignment="1">
      <alignment horizontal="right" vertical="center"/>
    </xf>
    <xf numFmtId="0" fontId="39" fillId="2" borderId="1" xfId="9" applyFont="1" applyFill="1" applyBorder="1" applyAlignment="1">
      <alignment horizontal="center" vertical="center"/>
    </xf>
    <xf numFmtId="0" fontId="47" fillId="2" borderId="0" xfId="9" applyFont="1" applyFill="1" applyAlignment="1">
      <alignment horizontal="center" vertical="center"/>
    </xf>
    <xf numFmtId="0" fontId="42" fillId="2" borderId="0" xfId="9" applyFont="1" applyFill="1" applyAlignment="1">
      <alignment horizontal="center" vertical="center" wrapText="1"/>
    </xf>
    <xf numFmtId="0" fontId="46" fillId="3" borderId="1" xfId="9" applyFont="1" applyFill="1" applyBorder="1" applyAlignment="1">
      <alignment horizontal="center" vertical="center" wrapText="1"/>
    </xf>
    <xf numFmtId="0" fontId="131" fillId="15" borderId="1" xfId="0" applyFont="1" applyFill="1" applyBorder="1" applyAlignment="1">
      <alignment horizontal="center" vertical="center"/>
    </xf>
    <xf numFmtId="0" fontId="116" fillId="15" borderId="2" xfId="0" applyFont="1" applyFill="1" applyBorder="1" applyAlignment="1">
      <alignment horizontal="left" vertical="center"/>
    </xf>
    <xf numFmtId="0" fontId="111" fillId="15" borderId="0" xfId="0" applyFont="1" applyFill="1" applyAlignment="1">
      <alignment vertical="center"/>
    </xf>
    <xf numFmtId="0" fontId="119" fillId="15" borderId="0" xfId="0" applyFont="1" applyFill="1" applyAlignment="1">
      <alignment horizontal="center" vertical="center"/>
    </xf>
    <xf numFmtId="0" fontId="115" fillId="15" borderId="0" xfId="0" applyFont="1" applyFill="1" applyAlignment="1">
      <alignment horizontal="center" vertical="center"/>
    </xf>
    <xf numFmtId="0" fontId="115" fillId="20" borderId="148" xfId="0" applyFont="1" applyFill="1" applyBorder="1" applyAlignment="1">
      <alignment horizontal="left" vertical="center"/>
    </xf>
    <xf numFmtId="0" fontId="115" fillId="20" borderId="137" xfId="0" applyFont="1" applyFill="1" applyBorder="1" applyAlignment="1">
      <alignment horizontal="left" vertical="center"/>
    </xf>
    <xf numFmtId="0" fontId="115" fillId="20" borderId="147" xfId="0" applyFont="1" applyFill="1" applyBorder="1" applyAlignment="1">
      <alignment horizontal="left" vertical="center"/>
    </xf>
    <xf numFmtId="0" fontId="115" fillId="20" borderId="146" xfId="0" applyFont="1" applyFill="1" applyBorder="1" applyAlignment="1">
      <alignment horizontal="left" vertical="center"/>
    </xf>
    <xf numFmtId="0" fontId="115" fillId="20" borderId="145" xfId="0" applyFont="1" applyFill="1" applyBorder="1" applyAlignment="1">
      <alignment horizontal="left" vertical="center"/>
    </xf>
    <xf numFmtId="0" fontId="115" fillId="20" borderId="144" xfId="0" applyFont="1" applyFill="1" applyBorder="1" applyAlignment="1">
      <alignment horizontal="left" vertical="center"/>
    </xf>
    <xf numFmtId="0" fontId="122" fillId="15" borderId="0" xfId="0" applyFont="1" applyFill="1" applyAlignment="1">
      <alignment horizontal="left" vertical="center"/>
    </xf>
    <xf numFmtId="0" fontId="112" fillId="21" borderId="133" xfId="0" applyFont="1" applyFill="1" applyBorder="1" applyAlignment="1">
      <alignment horizontal="center" vertical="center"/>
    </xf>
    <xf numFmtId="0" fontId="112" fillId="21" borderId="3" xfId="0" applyFont="1" applyFill="1" applyBorder="1" applyAlignment="1">
      <alignment horizontal="center" vertical="center"/>
    </xf>
    <xf numFmtId="0" fontId="112" fillId="21" borderId="132" xfId="0" applyFont="1" applyFill="1" applyBorder="1" applyAlignment="1">
      <alignment horizontal="center" vertical="center"/>
    </xf>
    <xf numFmtId="0" fontId="111" fillId="17" borderId="133" xfId="0" applyFont="1" applyFill="1" applyBorder="1" applyAlignment="1">
      <alignment horizontal="center" vertical="center"/>
    </xf>
    <xf numFmtId="0" fontId="111" fillId="17" borderId="132" xfId="0" applyFont="1" applyFill="1" applyBorder="1" applyAlignment="1">
      <alignment horizontal="center" vertical="center"/>
    </xf>
    <xf numFmtId="0" fontId="111" fillId="17" borderId="125" xfId="0" applyFont="1" applyFill="1" applyBorder="1" applyAlignment="1">
      <alignment horizontal="center" vertical="center"/>
    </xf>
    <xf numFmtId="0" fontId="111" fillId="17" borderId="124" xfId="0" applyFont="1" applyFill="1" applyBorder="1" applyAlignment="1">
      <alignment horizontal="center" vertical="center"/>
    </xf>
    <xf numFmtId="0" fontId="111" fillId="17" borderId="120" xfId="0" applyFont="1" applyFill="1" applyBorder="1" applyAlignment="1">
      <alignment horizontal="center" vertical="center"/>
    </xf>
    <xf numFmtId="0" fontId="111" fillId="17" borderId="119" xfId="0" applyFont="1" applyFill="1" applyBorder="1" applyAlignment="1">
      <alignment horizontal="center" vertical="center"/>
    </xf>
    <xf numFmtId="0" fontId="112" fillId="18" borderId="131" xfId="0" applyFont="1" applyFill="1" applyBorder="1" applyAlignment="1">
      <alignment horizontal="center" vertical="center"/>
    </xf>
    <xf numFmtId="0" fontId="112" fillId="18" borderId="130" xfId="0" applyFont="1" applyFill="1" applyBorder="1" applyAlignment="1">
      <alignment horizontal="center" vertical="center"/>
    </xf>
    <xf numFmtId="0" fontId="112" fillId="18" borderId="129" xfId="0" applyFont="1" applyFill="1" applyBorder="1" applyAlignment="1">
      <alignment horizontal="center" vertical="center"/>
    </xf>
    <xf numFmtId="192" fontId="112" fillId="18" borderId="127" xfId="0" applyNumberFormat="1" applyFont="1" applyFill="1" applyBorder="1" applyAlignment="1">
      <alignment horizontal="right" vertical="center"/>
    </xf>
    <xf numFmtId="192" fontId="112" fillId="18" borderId="126" xfId="0" applyNumberFormat="1" applyFont="1" applyFill="1" applyBorder="1" applyAlignment="1">
      <alignment horizontal="right" vertical="center"/>
    </xf>
    <xf numFmtId="0" fontId="112" fillId="18" borderId="123" xfId="0" applyFont="1" applyFill="1" applyBorder="1" applyAlignment="1">
      <alignment horizontal="center" vertical="center"/>
    </xf>
    <xf numFmtId="0" fontId="112" fillId="18" borderId="17" xfId="0" applyFont="1" applyFill="1" applyBorder="1" applyAlignment="1">
      <alignment horizontal="center" vertical="center"/>
    </xf>
    <xf numFmtId="0" fontId="112" fillId="18" borderId="79" xfId="0" applyFont="1" applyFill="1" applyBorder="1" applyAlignment="1">
      <alignment horizontal="center" vertical="center"/>
    </xf>
    <xf numFmtId="192" fontId="112" fillId="18" borderId="78" xfId="0" applyNumberFormat="1" applyFont="1" applyFill="1" applyBorder="1" applyAlignment="1">
      <alignment horizontal="right" vertical="center"/>
    </xf>
    <xf numFmtId="192" fontId="112" fillId="18" borderId="121" xfId="0" applyNumberFormat="1" applyFont="1" applyFill="1" applyBorder="1" applyAlignment="1">
      <alignment horizontal="right" vertical="center"/>
    </xf>
    <xf numFmtId="0" fontId="110" fillId="16" borderId="118" xfId="0" applyFont="1" applyFill="1" applyBorder="1" applyAlignment="1">
      <alignment horizontal="center" vertical="center"/>
    </xf>
    <xf numFmtId="0" fontId="110" fillId="16" borderId="117" xfId="0" applyFont="1" applyFill="1" applyBorder="1" applyAlignment="1">
      <alignment horizontal="center" vertical="center"/>
    </xf>
    <xf numFmtId="0" fontId="110" fillId="16" borderId="116" xfId="0" applyFont="1" applyFill="1" applyBorder="1" applyAlignment="1">
      <alignment horizontal="center" vertical="center"/>
    </xf>
    <xf numFmtId="192" fontId="109" fillId="16" borderId="114" xfId="0" applyNumberFormat="1" applyFont="1" applyFill="1" applyBorder="1" applyAlignment="1">
      <alignment horizontal="right" vertical="center"/>
    </xf>
    <xf numFmtId="192" fontId="109" fillId="16" borderId="113" xfId="0" applyNumberFormat="1" applyFont="1" applyFill="1" applyBorder="1" applyAlignment="1">
      <alignment horizontal="right" vertical="center"/>
    </xf>
    <xf numFmtId="0" fontId="116" fillId="19" borderId="133" xfId="0" applyFont="1" applyFill="1" applyBorder="1" applyAlignment="1">
      <alignment horizontal="center" vertical="center" wrapText="1"/>
    </xf>
    <xf numFmtId="0" fontId="116" fillId="19" borderId="132" xfId="0" applyFont="1" applyFill="1" applyBorder="1" applyAlignment="1">
      <alignment horizontal="center" vertical="center" wrapText="1"/>
    </xf>
    <xf numFmtId="0" fontId="116" fillId="19" borderId="143" xfId="0" applyFont="1" applyFill="1" applyBorder="1" applyAlignment="1">
      <alignment horizontal="center" vertical="center"/>
    </xf>
    <xf numFmtId="0" fontId="116" fillId="19" borderId="4" xfId="0" applyFont="1" applyFill="1" applyBorder="1" applyAlignment="1">
      <alignment horizontal="center" vertical="center"/>
    </xf>
    <xf numFmtId="0" fontId="116" fillId="19" borderId="142" xfId="0" applyFont="1" applyFill="1" applyBorder="1" applyAlignment="1">
      <alignment horizontal="center" vertical="center"/>
    </xf>
    <xf numFmtId="0" fontId="126" fillId="15" borderId="0" xfId="0" applyFont="1" applyFill="1" applyAlignment="1">
      <alignment horizontal="left" vertical="center"/>
    </xf>
    <xf numFmtId="0" fontId="124" fillId="15" borderId="0" xfId="0" applyFont="1" applyFill="1" applyAlignment="1">
      <alignment horizontal="left" vertical="center"/>
    </xf>
    <xf numFmtId="0" fontId="125" fillId="15" borderId="0" xfId="0" applyFont="1" applyFill="1" applyAlignment="1">
      <alignment horizontal="left" vertical="center"/>
    </xf>
    <xf numFmtId="0" fontId="112" fillId="15" borderId="0" xfId="0" applyFont="1" applyFill="1" applyAlignment="1">
      <alignment horizontal="center" vertical="center"/>
    </xf>
    <xf numFmtId="0" fontId="115" fillId="20" borderId="0" xfId="0" applyFont="1" applyFill="1" applyAlignment="1">
      <alignment horizontal="center" vertical="center"/>
    </xf>
    <xf numFmtId="0" fontId="122" fillId="20" borderId="133" xfId="0" applyFont="1" applyFill="1" applyBorder="1" applyAlignment="1">
      <alignment horizontal="left" vertical="center"/>
    </xf>
    <xf numFmtId="0" fontId="115" fillId="20" borderId="3" xfId="0" applyFont="1" applyFill="1" applyBorder="1" applyAlignment="1">
      <alignment horizontal="left" vertical="center"/>
    </xf>
    <xf numFmtId="0" fontId="115" fillId="20" borderId="132" xfId="0" applyFont="1" applyFill="1" applyBorder="1" applyAlignment="1">
      <alignment horizontal="left" vertical="center"/>
    </xf>
    <xf numFmtId="0" fontId="115" fillId="20" borderId="151" xfId="0" applyFont="1" applyFill="1" applyBorder="1" applyAlignment="1">
      <alignment horizontal="left" vertical="center"/>
    </xf>
    <xf numFmtId="0" fontId="115" fillId="20" borderId="150" xfId="0" applyFont="1" applyFill="1" applyBorder="1" applyAlignment="1">
      <alignment horizontal="left" vertical="center"/>
    </xf>
    <xf numFmtId="0" fontId="115" fillId="20" borderId="149" xfId="0" applyFont="1" applyFill="1" applyBorder="1" applyAlignment="1">
      <alignment horizontal="left" vertical="center"/>
    </xf>
    <xf numFmtId="0" fontId="123" fillId="15" borderId="0" xfId="0" applyFont="1" applyFill="1" applyAlignment="1">
      <alignment horizontal="left" vertical="center"/>
    </xf>
    <xf numFmtId="14" fontId="122" fillId="15" borderId="0" xfId="0" applyNumberFormat="1" applyFont="1" applyFill="1" applyAlignment="1">
      <alignment horizontal="left" vertical="center"/>
    </xf>
    <xf numFmtId="0" fontId="84" fillId="0" borderId="0" xfId="13" applyFont="1" applyAlignment="1">
      <alignment horizontal="right"/>
    </xf>
    <xf numFmtId="0" fontId="83" fillId="0" borderId="0" xfId="13" applyFont="1" applyAlignment="1">
      <alignment horizontal="right"/>
    </xf>
    <xf numFmtId="0" fontId="81" fillId="0" borderId="0" xfId="13" applyFont="1" applyAlignment="1">
      <alignment horizontal="right"/>
    </xf>
    <xf numFmtId="0" fontId="9" fillId="0" borderId="0" xfId="13" applyFont="1" applyAlignment="1">
      <alignment horizontal="left" vertical="center" wrapText="1"/>
    </xf>
    <xf numFmtId="0" fontId="84" fillId="0" borderId="7" xfId="13" applyFont="1" applyBorder="1" applyAlignment="1">
      <alignment horizontal="right" shrinkToFit="1"/>
    </xf>
    <xf numFmtId="0" fontId="81" fillId="0" borderId="0" xfId="13" applyFont="1" applyAlignment="1">
      <alignment horizontal="center"/>
    </xf>
    <xf numFmtId="0" fontId="81" fillId="0" borderId="98" xfId="13" applyFont="1" applyBorder="1" applyAlignment="1">
      <alignment horizontal="center" vertical="center"/>
    </xf>
    <xf numFmtId="0" fontId="81" fillId="0" borderId="23" xfId="13" applyFont="1" applyBorder="1" applyAlignment="1">
      <alignment horizontal="left"/>
    </xf>
    <xf numFmtId="0" fontId="81" fillId="0" borderId="6" xfId="13" applyFont="1" applyBorder="1" applyAlignment="1">
      <alignment horizontal="left"/>
    </xf>
    <xf numFmtId="0" fontId="89" fillId="0" borderId="94" xfId="13" applyFont="1" applyBorder="1" applyAlignment="1">
      <alignment horizontal="center" vertical="center" wrapText="1"/>
    </xf>
    <xf numFmtId="0" fontId="89" fillId="0" borderId="91" xfId="13" applyFont="1" applyBorder="1" applyAlignment="1">
      <alignment horizontal="center" vertical="center" wrapText="1"/>
    </xf>
    <xf numFmtId="0" fontId="14" fillId="0" borderId="10" xfId="13" applyFont="1" applyBorder="1" applyAlignment="1">
      <alignment horizontal="right" vertical="center"/>
    </xf>
    <xf numFmtId="6" fontId="86" fillId="11" borderId="83" xfId="13" applyNumberFormat="1" applyFont="1" applyFill="1" applyBorder="1" applyAlignment="1">
      <alignment horizontal="center" vertical="center"/>
    </xf>
    <xf numFmtId="6" fontId="86" fillId="11" borderId="7" xfId="13" applyNumberFormat="1" applyFont="1" applyFill="1" applyBorder="1" applyAlignment="1">
      <alignment horizontal="center" vertical="center"/>
    </xf>
    <xf numFmtId="0" fontId="83" fillId="0" borderId="80" xfId="13" applyFont="1" applyBorder="1" applyAlignment="1">
      <alignment horizontal="left" vertical="center"/>
    </xf>
    <xf numFmtId="0" fontId="81" fillId="0" borderId="10" xfId="13" applyFont="1" applyBorder="1" applyAlignment="1">
      <alignment horizontal="left" vertical="center"/>
    </xf>
    <xf numFmtId="0" fontId="81" fillId="0" borderId="77" xfId="13" applyFont="1" applyBorder="1" applyAlignment="1">
      <alignment horizontal="left" vertical="center"/>
    </xf>
    <xf numFmtId="0" fontId="81" fillId="0" borderId="0" xfId="13" applyFont="1" applyAlignment="1">
      <alignment horizontal="left" vertical="center"/>
    </xf>
    <xf numFmtId="0" fontId="81" fillId="0" borderId="75" xfId="13" applyFont="1" applyBorder="1" applyAlignment="1">
      <alignment horizontal="left" vertical="center"/>
    </xf>
    <xf numFmtId="0" fontId="81" fillId="0" borderId="7" xfId="13" applyFont="1" applyBorder="1" applyAlignment="1">
      <alignment horizontal="left" vertical="center"/>
    </xf>
    <xf numFmtId="0" fontId="81" fillId="0" borderId="24" xfId="13" applyFont="1" applyBorder="1" applyAlignment="1">
      <alignment horizontal="left"/>
    </xf>
    <xf numFmtId="0" fontId="95" fillId="0" borderId="0" xfId="13" applyFont="1" applyAlignment="1">
      <alignment horizontal="center" vertical="center"/>
    </xf>
    <xf numFmtId="0" fontId="97" fillId="13" borderId="101" xfId="13" applyFont="1" applyFill="1" applyBorder="1" applyAlignment="1">
      <alignment horizontal="center" vertical="center"/>
    </xf>
    <xf numFmtId="0" fontId="97" fillId="13" borderId="82" xfId="13" applyFont="1" applyFill="1" applyBorder="1" applyAlignment="1">
      <alignment horizontal="center" vertical="center"/>
    </xf>
    <xf numFmtId="0" fontId="95" fillId="0" borderId="7" xfId="13" applyFont="1" applyBorder="1" applyAlignment="1">
      <alignment horizontal="center" vertical="center"/>
    </xf>
    <xf numFmtId="0" fontId="54" fillId="0" borderId="0" xfId="13" applyFont="1" applyAlignment="1">
      <alignment horizontal="center" shrinkToFit="1"/>
    </xf>
    <xf numFmtId="0" fontId="97" fillId="0" borderId="99" xfId="13" applyFont="1" applyBorder="1" applyAlignment="1">
      <alignment horizontal="center" vertical="center"/>
    </xf>
    <xf numFmtId="0" fontId="54" fillId="0" borderId="0" xfId="13" applyFont="1" applyAlignment="1">
      <alignment horizontal="right" vertical="center"/>
    </xf>
    <xf numFmtId="0" fontId="97" fillId="0" borderId="100" xfId="13" applyFont="1" applyBorder="1" applyAlignment="1">
      <alignment horizontal="center" vertical="center"/>
    </xf>
    <xf numFmtId="0" fontId="56" fillId="0" borderId="0" xfId="13" applyFont="1" applyAlignment="1">
      <alignment horizontal="left" vertical="center" wrapText="1"/>
    </xf>
    <xf numFmtId="0" fontId="56" fillId="0" borderId="0" xfId="13" applyFont="1" applyAlignment="1">
      <alignment horizontal="left" vertical="center"/>
    </xf>
    <xf numFmtId="0" fontId="102" fillId="0" borderId="69" xfId="13" applyFont="1" applyBorder="1" applyAlignment="1">
      <alignment horizontal="center" vertical="center" wrapText="1"/>
    </xf>
    <xf numFmtId="0" fontId="102" fillId="0" borderId="0" xfId="13" applyFont="1" applyAlignment="1">
      <alignment horizontal="center" vertical="center" wrapText="1"/>
    </xf>
    <xf numFmtId="0" fontId="102" fillId="0" borderId="57" xfId="13" applyFont="1" applyBorder="1" applyAlignment="1">
      <alignment horizontal="center" vertical="center" wrapText="1"/>
    </xf>
    <xf numFmtId="0" fontId="102" fillId="0" borderId="39" xfId="13" applyFont="1" applyBorder="1" applyAlignment="1">
      <alignment horizontal="center" vertical="center" wrapText="1"/>
    </xf>
    <xf numFmtId="0" fontId="102" fillId="0" borderId="9" xfId="13" applyFont="1" applyBorder="1" applyAlignment="1">
      <alignment horizontal="center" vertical="center" wrapText="1"/>
    </xf>
    <xf numFmtId="0" fontId="102" fillId="0" borderId="37" xfId="13" applyFont="1" applyBorder="1" applyAlignment="1">
      <alignment horizontal="center" vertical="center" wrapText="1"/>
    </xf>
    <xf numFmtId="0" fontId="97" fillId="0" borderId="41" xfId="13" applyFont="1" applyBorder="1" applyAlignment="1">
      <alignment horizontal="center" vertical="center" wrapText="1"/>
    </xf>
    <xf numFmtId="0" fontId="97" fillId="0" borderId="19" xfId="13" applyFont="1" applyBorder="1" applyAlignment="1">
      <alignment horizontal="center" vertical="center" wrapText="1"/>
    </xf>
    <xf numFmtId="0" fontId="54" fillId="0" borderId="0" xfId="13" applyFont="1" applyAlignment="1">
      <alignment horizontal="right"/>
    </xf>
    <xf numFmtId="0" fontId="105" fillId="0" borderId="0" xfId="13" applyFont="1" applyAlignment="1">
      <alignment horizontal="right"/>
    </xf>
    <xf numFmtId="0" fontId="77" fillId="0" borderId="0" xfId="13" applyAlignment="1">
      <alignment horizontal="right"/>
    </xf>
    <xf numFmtId="0" fontId="104" fillId="0" borderId="98" xfId="13" applyFont="1" applyBorder="1" applyAlignment="1">
      <alignment horizontal="left"/>
    </xf>
    <xf numFmtId="0" fontId="57" fillId="14" borderId="110" xfId="13" applyFont="1" applyFill="1" applyBorder="1" applyAlignment="1">
      <alignment horizontal="center" vertical="center" wrapText="1"/>
    </xf>
    <xf numFmtId="0" fontId="57" fillId="14" borderId="109" xfId="13" applyFont="1" applyFill="1" applyBorder="1" applyAlignment="1">
      <alignment horizontal="center" vertical="center" wrapText="1"/>
    </xf>
    <xf numFmtId="0" fontId="57" fillId="14" borderId="108" xfId="13" applyFont="1" applyFill="1" applyBorder="1" applyAlignment="1">
      <alignment horizontal="center" vertical="center" wrapText="1"/>
    </xf>
    <xf numFmtId="0" fontId="97" fillId="0" borderId="42" xfId="13" applyFont="1" applyBorder="1" applyAlignment="1">
      <alignment horizontal="center" vertical="center" wrapText="1"/>
    </xf>
    <xf numFmtId="0" fontId="97" fillId="0" borderId="57" xfId="13" applyFont="1" applyBorder="1" applyAlignment="1">
      <alignment horizontal="center" vertical="center" wrapText="1"/>
    </xf>
    <xf numFmtId="0" fontId="97" fillId="0" borderId="105" xfId="13" applyFont="1" applyBorder="1" applyAlignment="1">
      <alignment horizontal="center" vertical="center" wrapText="1"/>
    </xf>
    <xf numFmtId="0" fontId="97" fillId="0" borderId="58" xfId="13" applyFont="1" applyBorder="1" applyAlignment="1">
      <alignment horizontal="center" vertical="center" wrapText="1"/>
    </xf>
    <xf numFmtId="0" fontId="57" fillId="14" borderId="103" xfId="13" applyFont="1" applyFill="1" applyBorder="1" applyAlignment="1">
      <alignment horizontal="center" vertical="center"/>
    </xf>
    <xf numFmtId="0" fontId="57" fillId="14" borderId="84" xfId="13" applyFont="1" applyFill="1" applyBorder="1" applyAlignment="1">
      <alignment horizontal="center" vertical="center"/>
    </xf>
    <xf numFmtId="0" fontId="132" fillId="0" borderId="152" xfId="0" applyFont="1" applyBorder="1" applyAlignment="1">
      <alignment horizontal="center" vertical="center"/>
    </xf>
    <xf numFmtId="0" fontId="133" fillId="0" borderId="152" xfId="0" applyFont="1" applyBorder="1" applyAlignment="1">
      <alignment horizontal="left" vertical="center" wrapText="1"/>
    </xf>
  </cellXfs>
  <cellStyles count="16">
    <cellStyle name="백분율 2" xfId="11" xr:uid="{DC64825E-A5B3-4BA1-A4A1-9A5C84C96AFC}"/>
    <cellStyle name="쉼표 [0]" xfId="1" builtinId="6"/>
    <cellStyle name="쉼표 [0] 2" xfId="6" xr:uid="{9486A96E-B644-450D-839E-9DB4ACDD085C}"/>
    <cellStyle name="쉼표 [0] 3" xfId="4" xr:uid="{04E8A5B9-A504-49C5-AD3E-910A1416E362}"/>
    <cellStyle name="쉼표 [0] 4" xfId="8" xr:uid="{85841696-0DDA-4952-8CE5-363830F82C66}"/>
    <cellStyle name="쉼표 [0] 5" xfId="12" xr:uid="{85FA65DD-D4AE-48E5-9A8C-A396BAF01012}"/>
    <cellStyle name="쉼표 [0] 6" xfId="14" xr:uid="{9C6A978D-3473-4B2F-9F13-57606AF1B16D}"/>
    <cellStyle name="통화 [0] 2" xfId="15" xr:uid="{1FAB9DE5-E725-431C-869D-355FE20C26C5}"/>
    <cellStyle name="표준" xfId="0" builtinId="0"/>
    <cellStyle name="표준 2" xfId="5" xr:uid="{EF057236-FE38-4B31-B0C8-1B1A78208A0E}"/>
    <cellStyle name="표준 3" xfId="3" xr:uid="{14B4063A-F2BC-4E52-A5B0-F3324517848B}"/>
    <cellStyle name="표준 4" xfId="7" xr:uid="{1B548EEB-D7FF-4750-BA35-CD1F6D6F32A9}"/>
    <cellStyle name="표준 5" xfId="9" xr:uid="{B6F52CB9-0468-42E4-AFC2-FBB6589BE5DD}"/>
    <cellStyle name="표준 6" xfId="13" xr:uid="{30B27BEF-8349-4338-BA47-13E369105B0F}"/>
    <cellStyle name="하이퍼링크" xfId="2" builtinId="8"/>
    <cellStyle name="하이퍼링크 2" xfId="10" xr:uid="{99879B11-FF00-4AFC-B51F-AB69513A8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13607</xdr:colOff>
      <xdr:row>1</xdr:row>
      <xdr:rowOff>119290</xdr:rowOff>
    </xdr:from>
    <xdr:to>
      <xdr:col>5</xdr:col>
      <xdr:colOff>828612</xdr:colOff>
      <xdr:row>4</xdr:row>
      <xdr:rowOff>390071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D25D12A-9103-E1BB-442E-7B095C65BF44}"/>
            </a:ext>
          </a:extLst>
        </xdr:cNvPr>
        <xdr:cNvGrpSpPr/>
      </xdr:nvGrpSpPr>
      <xdr:grpSpPr>
        <a:xfrm>
          <a:off x="267607" y="246290"/>
          <a:ext cx="6421148" cy="1631495"/>
          <a:chOff x="925286" y="449036"/>
          <a:chExt cx="11552464" cy="320022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E76B61E5-B6CF-4B38-A9FA-DF18A99234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25286" y="449036"/>
            <a:ext cx="11552464" cy="3200226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46AB8109-80EE-404C-A351-044BDD9532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9445" y="1537913"/>
            <a:ext cx="4390305" cy="1240738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1360714</xdr:colOff>
      <xdr:row>10</xdr:row>
      <xdr:rowOff>138117</xdr:rowOff>
    </xdr:from>
    <xdr:to>
      <xdr:col>9</xdr:col>
      <xdr:colOff>2006817</xdr:colOff>
      <xdr:row>12</xdr:row>
      <xdr:rowOff>176233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2B0198D-1294-4E3A-BBC3-417CBEE7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0" y="3090867"/>
          <a:ext cx="646103" cy="636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2</xdr:row>
      <xdr:rowOff>190500</xdr:rowOff>
    </xdr:from>
    <xdr:to>
      <xdr:col>4</xdr:col>
      <xdr:colOff>666749</xdr:colOff>
      <xdr:row>8</xdr:row>
      <xdr:rowOff>52753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4CFD6DC9-ADF8-4D0A-B89E-90FA3F302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371475"/>
          <a:ext cx="1295399" cy="1195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161095</xdr:colOff>
      <xdr:row>2</xdr:row>
      <xdr:rowOff>202507</xdr:rowOff>
    </xdr:from>
    <xdr:to>
      <xdr:col>10</xdr:col>
      <xdr:colOff>122994</xdr:colOff>
      <xdr:row>5</xdr:row>
      <xdr:rowOff>54663</xdr:rowOff>
    </xdr:to>
    <xdr:pic>
      <xdr:nvPicPr>
        <xdr:cNvPr id="3" name="그림 5">
          <a:extLst>
            <a:ext uri="{FF2B5EF4-FFF2-40B4-BE49-F238E27FC236}">
              <a16:creationId xmlns:a16="http://schemas.microsoft.com/office/drawing/2014/main" id="{E85A2FE1-3DD0-4C1E-94A9-021B9E0E4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338140">
          <a:off x="6108008" y="508964"/>
          <a:ext cx="649356" cy="605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6</xdr:row>
      <xdr:rowOff>0</xdr:rowOff>
    </xdr:from>
    <xdr:to>
      <xdr:col>9</xdr:col>
      <xdr:colOff>323851</xdr:colOff>
      <xdr:row>8</xdr:row>
      <xdr:rowOff>200026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134A12-3A63-475E-85BA-634FB724A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333500"/>
          <a:ext cx="561976" cy="5619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197827</xdr:colOff>
      <xdr:row>1</xdr:row>
      <xdr:rowOff>14654</xdr:rowOff>
    </xdr:from>
    <xdr:ext cx="754673" cy="754673"/>
    <xdr:pic>
      <xdr:nvPicPr>
        <xdr:cNvPr id="2" name="그림 1">
          <a:extLst>
            <a:ext uri="{FF2B5EF4-FFF2-40B4-BE49-F238E27FC236}">
              <a16:creationId xmlns:a16="http://schemas.microsoft.com/office/drawing/2014/main" id="{980C66D9-E8DB-4BD4-8DB6-C076C1984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9627" y="224204"/>
          <a:ext cx="754673" cy="75467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352301</xdr:colOff>
      <xdr:row>7</xdr:row>
      <xdr:rowOff>125738</xdr:rowOff>
    </xdr:from>
    <xdr:to>
      <xdr:col>8</xdr:col>
      <xdr:colOff>487986</xdr:colOff>
      <xdr:row>24</xdr:row>
      <xdr:rowOff>8575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D20819F-D747-40BF-AF6C-702B255C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801" y="2044345"/>
          <a:ext cx="6844006" cy="5597837"/>
        </a:xfrm>
        <a:prstGeom prst="rect">
          <a:avLst/>
        </a:prstGeom>
      </xdr:spPr>
    </xdr:pic>
    <xdr:clientData/>
  </xdr:twoCellAnchor>
  <xdr:twoCellAnchor editAs="oneCell">
    <xdr:from>
      <xdr:col>9</xdr:col>
      <xdr:colOff>707572</xdr:colOff>
      <xdr:row>4</xdr:row>
      <xdr:rowOff>204105</xdr:rowOff>
    </xdr:from>
    <xdr:to>
      <xdr:col>9</xdr:col>
      <xdr:colOff>1347107</xdr:colOff>
      <xdr:row>6</xdr:row>
      <xdr:rowOff>145786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3072D7B-0A9E-4F7A-A0DB-E4CBD933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1108" y="3946069"/>
          <a:ext cx="639535" cy="622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586154</xdr:colOff>
      <xdr:row>5</xdr:row>
      <xdr:rowOff>0</xdr:rowOff>
    </xdr:from>
    <xdr:ext cx="561975" cy="561975"/>
    <xdr:pic>
      <xdr:nvPicPr>
        <xdr:cNvPr id="2" name="그림 2">
          <a:extLst>
            <a:ext uri="{FF2B5EF4-FFF2-40B4-BE49-F238E27FC236}">
              <a16:creationId xmlns:a16="http://schemas.microsoft.com/office/drawing/2014/main" id="{DB4F789A-DE48-49EC-B091-04F69F18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323135" y="945173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926306</xdr:colOff>
      <xdr:row>2</xdr:row>
      <xdr:rowOff>78581</xdr:rowOff>
    </xdr:from>
    <xdr:ext cx="3687296" cy="630892"/>
    <xdr:pic>
      <xdr:nvPicPr>
        <xdr:cNvPr id="2" name="그림 2">
          <a:extLst>
            <a:ext uri="{FF2B5EF4-FFF2-40B4-BE49-F238E27FC236}">
              <a16:creationId xmlns:a16="http://schemas.microsoft.com/office/drawing/2014/main" id="{9D853498-3A78-4A5E-BB87-D02FA19D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381" y="421481"/>
          <a:ext cx="3687296" cy="630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677157</xdr:colOff>
      <xdr:row>31</xdr:row>
      <xdr:rowOff>50426</xdr:rowOff>
    </xdr:from>
    <xdr:ext cx="779609" cy="757294"/>
    <xdr:pic>
      <xdr:nvPicPr>
        <xdr:cNvPr id="3" name="그림 4">
          <a:extLst>
            <a:ext uri="{FF2B5EF4-FFF2-40B4-BE49-F238E27FC236}">
              <a16:creationId xmlns:a16="http://schemas.microsoft.com/office/drawing/2014/main" id="{007366F6-4958-42DF-8524-ABBB5E02A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157" y="5365376"/>
          <a:ext cx="779609" cy="75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9525</xdr:rowOff>
    </xdr:from>
    <xdr:ext cx="2477060" cy="630892"/>
    <xdr:pic>
      <xdr:nvPicPr>
        <xdr:cNvPr id="2" name="그림 1">
          <a:extLst>
            <a:ext uri="{FF2B5EF4-FFF2-40B4-BE49-F238E27FC236}">
              <a16:creationId xmlns:a16="http://schemas.microsoft.com/office/drawing/2014/main" id="{9F737407-18B5-463C-825F-8918CA1E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80975"/>
          <a:ext cx="2477060" cy="630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95250</xdr:colOff>
      <xdr:row>24</xdr:row>
      <xdr:rowOff>104775</xdr:rowOff>
    </xdr:from>
    <xdr:ext cx="1009650" cy="1099297"/>
    <xdr:pic>
      <xdr:nvPicPr>
        <xdr:cNvPr id="3" name="그림 1">
          <a:extLst>
            <a:ext uri="{FF2B5EF4-FFF2-40B4-BE49-F238E27FC236}">
              <a16:creationId xmlns:a16="http://schemas.microsoft.com/office/drawing/2014/main" id="{F91B0FBF-C143-47B5-9BDB-E27FCED4F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4867275"/>
          <a:ext cx="1009650" cy="1099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s@go-sprint.co.k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g15030@naver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cjy@withnco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1D4A-4E75-4E5D-BB5E-DA53814C165E}">
  <dimension ref="C1:O32"/>
  <sheetViews>
    <sheetView showGridLines="0" view="pageBreakPreview" topLeftCell="A17" zoomScale="70" zoomScaleNormal="70" zoomScaleSheetLayoutView="70" workbookViewId="0">
      <selection activeCell="Q59" sqref="Q59"/>
    </sheetView>
  </sheetViews>
  <sheetFormatPr baseColWidth="10" defaultColWidth="8.83203125" defaultRowHeight="15"/>
  <cols>
    <col min="1" max="2" width="1.6640625" customWidth="1"/>
    <col min="3" max="4" width="12.1640625" customWidth="1"/>
    <col min="5" max="5" width="49.33203125" bestFit="1" customWidth="1"/>
    <col min="6" max="9" width="12.83203125" customWidth="1"/>
    <col min="10" max="10" width="26.6640625" customWidth="1"/>
    <col min="11" max="12" width="1.6640625" customWidth="1"/>
    <col min="13" max="13" width="15.1640625" bestFit="1" customWidth="1"/>
    <col min="14" max="15" width="13.5" customWidth="1"/>
  </cols>
  <sheetData>
    <row r="1" spans="3:15" ht="10" customHeight="1">
      <c r="C1" s="18"/>
      <c r="D1" s="19"/>
      <c r="E1" s="20"/>
      <c r="F1" s="19"/>
      <c r="G1" s="19"/>
      <c r="H1" s="19"/>
      <c r="I1" s="21"/>
      <c r="J1" s="20"/>
      <c r="K1" s="20"/>
      <c r="L1" s="20"/>
      <c r="M1" s="17"/>
      <c r="N1" s="17"/>
      <c r="O1" s="17"/>
    </row>
    <row r="2" spans="3:15" ht="35">
      <c r="C2" s="18"/>
      <c r="D2" s="19"/>
      <c r="E2" s="20"/>
      <c r="F2" s="19"/>
      <c r="G2" s="19"/>
      <c r="H2" s="19"/>
      <c r="I2" s="21"/>
      <c r="J2" s="20"/>
      <c r="K2" s="20"/>
      <c r="L2" s="20"/>
      <c r="M2" s="17"/>
      <c r="N2" s="17"/>
      <c r="O2" s="17"/>
    </row>
    <row r="3" spans="3:15" ht="35">
      <c r="C3" s="18"/>
      <c r="D3" s="19"/>
      <c r="E3" s="20"/>
      <c r="F3" s="19"/>
      <c r="G3" s="19"/>
      <c r="H3" s="19"/>
      <c r="I3" s="21"/>
      <c r="J3" s="20"/>
      <c r="K3" s="20"/>
      <c r="L3" s="20"/>
      <c r="M3" s="17"/>
      <c r="N3" s="17"/>
      <c r="O3" s="17"/>
    </row>
    <row r="4" spans="3:15" ht="35">
      <c r="C4" s="18"/>
      <c r="D4" s="19"/>
      <c r="E4" s="20"/>
      <c r="F4" s="19"/>
      <c r="G4" s="19"/>
      <c r="H4" s="19"/>
      <c r="I4" s="21"/>
      <c r="J4" s="20"/>
      <c r="K4" s="20"/>
      <c r="L4" s="20"/>
      <c r="M4" s="17"/>
      <c r="N4" s="17"/>
      <c r="O4" s="17"/>
    </row>
    <row r="5" spans="3:15" ht="35">
      <c r="C5" s="18"/>
      <c r="D5" s="19"/>
      <c r="E5" s="20"/>
      <c r="F5" s="19"/>
      <c r="G5" s="19"/>
      <c r="H5" s="19"/>
      <c r="I5" s="21"/>
      <c r="J5" s="20"/>
      <c r="K5" s="20"/>
      <c r="L5" s="20"/>
      <c r="M5" s="17"/>
      <c r="N5" s="17"/>
      <c r="O5" s="17"/>
    </row>
    <row r="6" spans="3:15" ht="17">
      <c r="C6" s="19"/>
      <c r="D6" s="19"/>
      <c r="E6" s="20"/>
      <c r="F6" s="19"/>
      <c r="G6" s="19"/>
      <c r="H6" s="19"/>
      <c r="I6" s="21"/>
      <c r="J6" s="20"/>
      <c r="K6" s="20"/>
      <c r="L6" s="20"/>
      <c r="M6" s="22" t="s">
        <v>18</v>
      </c>
      <c r="N6" s="22">
        <v>300000</v>
      </c>
      <c r="O6" s="17"/>
    </row>
    <row r="7" spans="3:15" ht="17">
      <c r="C7" s="19"/>
      <c r="D7" s="19"/>
      <c r="E7" s="20"/>
      <c r="F7" s="19"/>
      <c r="G7" s="19"/>
      <c r="H7" s="19"/>
      <c r="I7" s="21"/>
      <c r="J7" s="20"/>
      <c r="K7" s="20"/>
      <c r="L7" s="20"/>
      <c r="M7" s="17"/>
      <c r="N7" s="17"/>
      <c r="O7" s="17"/>
    </row>
    <row r="8" spans="3:15" ht="17">
      <c r="C8" s="19"/>
      <c r="D8" s="19"/>
      <c r="E8" s="20"/>
      <c r="F8" s="19"/>
      <c r="G8" s="19"/>
      <c r="H8" s="19"/>
      <c r="I8" s="21"/>
      <c r="J8" s="20"/>
      <c r="K8" s="20"/>
      <c r="L8" s="20"/>
      <c r="M8" s="22" t="s">
        <v>19</v>
      </c>
      <c r="N8" s="22">
        <v>406342</v>
      </c>
      <c r="O8" s="23">
        <v>0.1</v>
      </c>
    </row>
    <row r="9" spans="3:15" ht="17">
      <c r="C9" s="19"/>
      <c r="D9" s="19"/>
      <c r="E9" s="24"/>
      <c r="F9" s="24"/>
      <c r="G9" s="19"/>
      <c r="H9" s="19"/>
      <c r="I9" s="21"/>
      <c r="J9" s="20"/>
      <c r="K9" s="20"/>
      <c r="L9" s="20"/>
      <c r="M9" s="22" t="s">
        <v>20</v>
      </c>
      <c r="N9" s="22">
        <v>305433</v>
      </c>
      <c r="O9" s="17"/>
    </row>
    <row r="10" spans="3:15" ht="18" thickBot="1">
      <c r="C10" s="19"/>
      <c r="D10" s="19"/>
      <c r="E10" s="20"/>
      <c r="F10" s="19"/>
      <c r="G10" s="19"/>
      <c r="H10" s="19"/>
      <c r="I10" s="21"/>
      <c r="J10" s="20"/>
      <c r="K10" s="20"/>
      <c r="L10" s="20"/>
      <c r="M10" s="22" t="s">
        <v>21</v>
      </c>
      <c r="N10" s="22">
        <v>239748</v>
      </c>
      <c r="O10" s="17"/>
    </row>
    <row r="11" spans="3:15" ht="24" customHeight="1" thickTop="1">
      <c r="C11" s="333" t="s">
        <v>22</v>
      </c>
      <c r="D11" s="334"/>
      <c r="E11" s="46">
        <v>44902</v>
      </c>
      <c r="F11" s="325" t="s">
        <v>23</v>
      </c>
      <c r="G11" s="326"/>
      <c r="H11" s="341" t="s">
        <v>24</v>
      </c>
      <c r="I11" s="342"/>
      <c r="J11" s="343"/>
      <c r="K11" s="49"/>
      <c r="L11" s="49"/>
      <c r="M11" s="22" t="s">
        <v>25</v>
      </c>
      <c r="N11" s="22">
        <v>215681</v>
      </c>
      <c r="O11" s="17"/>
    </row>
    <row r="12" spans="3:15" ht="24" customHeight="1">
      <c r="C12" s="296" t="s">
        <v>26</v>
      </c>
      <c r="D12" s="335"/>
      <c r="E12" s="93" t="s">
        <v>153</v>
      </c>
      <c r="F12" s="329" t="s">
        <v>27</v>
      </c>
      <c r="G12" s="330"/>
      <c r="H12" s="340" t="s">
        <v>69</v>
      </c>
      <c r="I12" s="320"/>
      <c r="J12" s="321"/>
      <c r="K12" s="49"/>
      <c r="L12" s="49"/>
      <c r="M12" s="17"/>
      <c r="N12" s="17"/>
      <c r="O12" s="17"/>
    </row>
    <row r="13" spans="3:15" ht="24" customHeight="1">
      <c r="C13" s="336" t="s">
        <v>28</v>
      </c>
      <c r="D13" s="337"/>
      <c r="E13" s="48" t="s">
        <v>177</v>
      </c>
      <c r="F13" s="329" t="s">
        <v>29</v>
      </c>
      <c r="G13" s="330"/>
      <c r="H13" s="319" t="s">
        <v>30</v>
      </c>
      <c r="I13" s="320"/>
      <c r="J13" s="321"/>
      <c r="K13" s="49"/>
      <c r="L13" s="49"/>
      <c r="M13" s="17"/>
      <c r="N13" s="17"/>
      <c r="O13" s="17"/>
    </row>
    <row r="14" spans="3:15" ht="24" customHeight="1" thickBot="1">
      <c r="C14" s="338" t="s">
        <v>31</v>
      </c>
      <c r="D14" s="339"/>
      <c r="E14" s="47" t="s">
        <v>32</v>
      </c>
      <c r="F14" s="329" t="s">
        <v>33</v>
      </c>
      <c r="G14" s="330"/>
      <c r="H14" s="344" t="s">
        <v>34</v>
      </c>
      <c r="I14" s="345"/>
      <c r="J14" s="346"/>
      <c r="K14" s="50"/>
      <c r="L14" s="50"/>
      <c r="M14" s="17"/>
      <c r="N14" s="17"/>
      <c r="O14" s="17"/>
    </row>
    <row r="15" spans="3:15" ht="24" customHeight="1" thickBot="1">
      <c r="C15" s="296" t="s">
        <v>35</v>
      </c>
      <c r="D15" s="297"/>
      <c r="E15" s="47" t="s">
        <v>36</v>
      </c>
      <c r="F15" s="329" t="s">
        <v>37</v>
      </c>
      <c r="G15" s="330"/>
      <c r="H15" s="340" t="s">
        <v>38</v>
      </c>
      <c r="I15" s="320"/>
      <c r="J15" s="321"/>
      <c r="K15" s="49"/>
      <c r="L15" s="49"/>
      <c r="M15" s="17"/>
      <c r="N15" s="25" t="s">
        <v>39</v>
      </c>
      <c r="O15" s="26" t="s">
        <v>40</v>
      </c>
    </row>
    <row r="16" spans="3:15" ht="24" customHeight="1" thickBot="1">
      <c r="C16" s="296" t="s">
        <v>41</v>
      </c>
      <c r="D16" s="297"/>
      <c r="E16" s="48" t="s">
        <v>42</v>
      </c>
      <c r="F16" s="329" t="s">
        <v>43</v>
      </c>
      <c r="G16" s="330"/>
      <c r="H16" s="322" t="s">
        <v>44</v>
      </c>
      <c r="I16" s="323"/>
      <c r="J16" s="324"/>
      <c r="K16" s="51"/>
      <c r="L16" s="51"/>
      <c r="M16" s="17"/>
      <c r="N16" s="25" t="s">
        <v>45</v>
      </c>
      <c r="O16" s="26" t="s">
        <v>46</v>
      </c>
    </row>
    <row r="17" spans="3:15" ht="24" customHeight="1" thickBot="1">
      <c r="C17" s="304" t="s">
        <v>47</v>
      </c>
      <c r="D17" s="305"/>
      <c r="E17" s="327">
        <f>SUM(I30)</f>
        <v>18150000</v>
      </c>
      <c r="F17" s="329" t="s">
        <v>48</v>
      </c>
      <c r="G17" s="330"/>
      <c r="H17" s="319" t="s">
        <v>49</v>
      </c>
      <c r="I17" s="320"/>
      <c r="J17" s="321"/>
      <c r="K17" s="49"/>
      <c r="L17" s="49"/>
      <c r="M17" s="17"/>
      <c r="N17" s="25" t="s">
        <v>50</v>
      </c>
      <c r="O17" s="26" t="s">
        <v>51</v>
      </c>
    </row>
    <row r="18" spans="3:15" ht="24" customHeight="1" thickBot="1">
      <c r="C18" s="306"/>
      <c r="D18" s="307"/>
      <c r="E18" s="328"/>
      <c r="F18" s="331" t="s">
        <v>52</v>
      </c>
      <c r="G18" s="332"/>
      <c r="H18" s="308" t="s">
        <v>53</v>
      </c>
      <c r="I18" s="309"/>
      <c r="J18" s="310"/>
      <c r="K18" s="49"/>
      <c r="L18" s="49"/>
      <c r="M18" s="17"/>
      <c r="N18" s="25" t="s">
        <v>54</v>
      </c>
      <c r="O18" s="26" t="s">
        <v>55</v>
      </c>
    </row>
    <row r="19" spans="3:15" ht="24" customHeight="1" thickTop="1">
      <c r="C19" s="27"/>
      <c r="D19" s="27"/>
      <c r="E19" s="28"/>
      <c r="F19" s="29"/>
      <c r="G19" s="29"/>
      <c r="H19" s="30"/>
      <c r="I19" s="30"/>
      <c r="J19" s="30"/>
      <c r="K19" s="19"/>
      <c r="L19" s="19"/>
      <c r="M19" s="17"/>
      <c r="N19" s="31"/>
      <c r="O19" s="32"/>
    </row>
    <row r="20" spans="3:15" ht="24" customHeight="1" thickBot="1">
      <c r="C20" s="298" t="s">
        <v>56</v>
      </c>
      <c r="D20" s="298"/>
      <c r="E20" s="298"/>
      <c r="F20" s="33"/>
      <c r="G20" s="33"/>
      <c r="H20" s="33"/>
      <c r="I20" s="33"/>
      <c r="J20" s="33"/>
      <c r="K20" s="33"/>
      <c r="L20" s="33"/>
      <c r="M20" s="17"/>
      <c r="N20" s="31"/>
      <c r="O20" s="32"/>
    </row>
    <row r="21" spans="3:15" ht="24" customHeight="1" thickTop="1">
      <c r="C21" s="311" t="s">
        <v>57</v>
      </c>
      <c r="D21" s="312"/>
      <c r="E21" s="299" t="s">
        <v>58</v>
      </c>
      <c r="F21" s="301" t="s">
        <v>59</v>
      </c>
      <c r="G21" s="302"/>
      <c r="H21" s="303"/>
      <c r="I21" s="315" t="s">
        <v>60</v>
      </c>
      <c r="J21" s="317" t="s">
        <v>61</v>
      </c>
      <c r="K21" s="33"/>
      <c r="L21" s="33"/>
      <c r="M21" s="17"/>
      <c r="N21" s="17"/>
      <c r="O21" s="34"/>
    </row>
    <row r="22" spans="3:15" ht="24" customHeight="1">
      <c r="C22" s="313"/>
      <c r="D22" s="314"/>
      <c r="E22" s="300"/>
      <c r="F22" s="35" t="s">
        <v>62</v>
      </c>
      <c r="G22" s="35" t="s">
        <v>63</v>
      </c>
      <c r="H22" s="35" t="s">
        <v>64</v>
      </c>
      <c r="I22" s="316"/>
      <c r="J22" s="318"/>
      <c r="K22" s="33"/>
      <c r="L22" s="33"/>
      <c r="M22" s="17"/>
      <c r="N22" s="22"/>
      <c r="O22" s="22"/>
    </row>
    <row r="23" spans="3:15" ht="35" customHeight="1">
      <c r="C23" s="283" t="s">
        <v>178</v>
      </c>
      <c r="D23" s="284"/>
      <c r="E23" s="94" t="s">
        <v>179</v>
      </c>
      <c r="F23" s="99"/>
      <c r="G23" s="100" t="s">
        <v>154</v>
      </c>
      <c r="H23" s="101">
        <v>90</v>
      </c>
      <c r="I23" s="108">
        <v>4000000</v>
      </c>
      <c r="J23" s="294"/>
      <c r="K23" s="52"/>
      <c r="L23" s="52"/>
    </row>
    <row r="24" spans="3:15" ht="35" customHeight="1">
      <c r="C24" s="285" t="s">
        <v>182</v>
      </c>
      <c r="D24" s="286"/>
      <c r="E24" s="98" t="s">
        <v>180</v>
      </c>
      <c r="F24" s="96"/>
      <c r="G24" s="104" t="s">
        <v>154</v>
      </c>
      <c r="H24" s="92">
        <v>60</v>
      </c>
      <c r="I24" s="291">
        <v>5500000</v>
      </c>
      <c r="J24" s="295"/>
      <c r="K24" s="52"/>
      <c r="L24" s="52"/>
    </row>
    <row r="25" spans="3:15" ht="35" customHeight="1">
      <c r="C25" s="287"/>
      <c r="D25" s="288"/>
      <c r="E25" s="94" t="s">
        <v>181</v>
      </c>
      <c r="F25" s="95"/>
      <c r="G25" s="105" t="s">
        <v>154</v>
      </c>
      <c r="H25" s="91">
        <v>1</v>
      </c>
      <c r="I25" s="292"/>
      <c r="J25" s="295"/>
      <c r="K25" s="52"/>
      <c r="L25" s="52"/>
    </row>
    <row r="26" spans="3:15" ht="35" customHeight="1">
      <c r="C26" s="285" t="s">
        <v>152</v>
      </c>
      <c r="D26" s="286"/>
      <c r="E26" s="94" t="s">
        <v>183</v>
      </c>
      <c r="F26" s="99"/>
      <c r="G26" s="106" t="s">
        <v>186</v>
      </c>
      <c r="H26" s="101">
        <v>30</v>
      </c>
      <c r="I26" s="291">
        <v>7000000</v>
      </c>
      <c r="J26" s="295"/>
      <c r="K26" s="52"/>
      <c r="L26" s="52"/>
    </row>
    <row r="27" spans="3:15" ht="35" customHeight="1">
      <c r="C27" s="287"/>
      <c r="D27" s="288"/>
      <c r="E27" s="94" t="s">
        <v>184</v>
      </c>
      <c r="F27" s="102"/>
      <c r="G27" s="107" t="s">
        <v>186</v>
      </c>
      <c r="H27" s="103">
        <v>30</v>
      </c>
      <c r="I27" s="293"/>
      <c r="J27" s="295"/>
      <c r="K27" s="52"/>
      <c r="L27" s="52"/>
    </row>
    <row r="28" spans="3:15" ht="35" customHeight="1">
      <c r="C28" s="289"/>
      <c r="D28" s="290"/>
      <c r="E28" s="97" t="s">
        <v>185</v>
      </c>
      <c r="F28" s="96"/>
      <c r="G28" s="104" t="s">
        <v>154</v>
      </c>
      <c r="H28" s="92">
        <v>30</v>
      </c>
      <c r="I28" s="292"/>
      <c r="J28" s="295"/>
      <c r="K28" s="52"/>
      <c r="L28" s="52"/>
    </row>
    <row r="29" spans="3:15" ht="24" customHeight="1">
      <c r="C29" s="279" t="s">
        <v>65</v>
      </c>
      <c r="D29" s="280"/>
      <c r="E29" s="280"/>
      <c r="F29" s="280"/>
      <c r="G29" s="280"/>
      <c r="H29" s="280"/>
      <c r="I29" s="281">
        <f>SUM(I23:I28)</f>
        <v>16500000</v>
      </c>
      <c r="J29" s="282"/>
      <c r="K29" s="40"/>
      <c r="L29" s="40"/>
    </row>
    <row r="30" spans="3:15" ht="24" customHeight="1" thickBot="1">
      <c r="C30" s="36" t="s">
        <v>66</v>
      </c>
      <c r="D30" s="37">
        <f>SUM(I29)</f>
        <v>16500000</v>
      </c>
      <c r="E30" s="38" t="s">
        <v>67</v>
      </c>
      <c r="F30" s="39">
        <f>SUM(D30*0.1)</f>
        <v>1650000</v>
      </c>
      <c r="G30" s="275" t="s">
        <v>68</v>
      </c>
      <c r="H30" s="276"/>
      <c r="I30" s="277">
        <f>SUM(D30+F30)</f>
        <v>18150000</v>
      </c>
      <c r="J30" s="278"/>
      <c r="K30" s="42"/>
      <c r="L30" s="42"/>
    </row>
    <row r="31" spans="3:15" ht="10" customHeight="1" thickTop="1">
      <c r="C31" s="43"/>
      <c r="D31" s="40"/>
      <c r="E31" s="43"/>
      <c r="F31" s="41"/>
      <c r="G31" s="44"/>
      <c r="H31" s="45"/>
      <c r="I31" s="42"/>
      <c r="J31" s="42"/>
      <c r="K31" s="42"/>
      <c r="L31" s="42"/>
    </row>
    <row r="32" spans="3:15" ht="17">
      <c r="C32" s="17"/>
      <c r="D32" s="40"/>
      <c r="E32" s="43"/>
      <c r="F32" s="17"/>
      <c r="G32" s="17"/>
      <c r="H32" s="17"/>
      <c r="I32" s="17"/>
      <c r="J32" s="17"/>
      <c r="K32" s="17"/>
      <c r="L32" s="17"/>
    </row>
  </sheetData>
  <mergeCells count="40">
    <mergeCell ref="H12:J12"/>
    <mergeCell ref="H11:J11"/>
    <mergeCell ref="H13:J13"/>
    <mergeCell ref="H14:J14"/>
    <mergeCell ref="H15:J15"/>
    <mergeCell ref="C11:D11"/>
    <mergeCell ref="C12:D12"/>
    <mergeCell ref="C13:D13"/>
    <mergeCell ref="C14:D14"/>
    <mergeCell ref="C15:D15"/>
    <mergeCell ref="F11:G11"/>
    <mergeCell ref="E17:E18"/>
    <mergeCell ref="F12:G12"/>
    <mergeCell ref="F13:G13"/>
    <mergeCell ref="F14:G14"/>
    <mergeCell ref="F15:G15"/>
    <mergeCell ref="F18:G18"/>
    <mergeCell ref="F16:G16"/>
    <mergeCell ref="F17:G17"/>
    <mergeCell ref="C16:D16"/>
    <mergeCell ref="C20:E20"/>
    <mergeCell ref="E21:E22"/>
    <mergeCell ref="F21:H21"/>
    <mergeCell ref="C17:D18"/>
    <mergeCell ref="H18:J18"/>
    <mergeCell ref="C21:D22"/>
    <mergeCell ref="I21:I22"/>
    <mergeCell ref="J21:J22"/>
    <mergeCell ref="H17:J17"/>
    <mergeCell ref="H16:J16"/>
    <mergeCell ref="G30:H30"/>
    <mergeCell ref="I30:J30"/>
    <mergeCell ref="C29:H29"/>
    <mergeCell ref="I29:J29"/>
    <mergeCell ref="C23:D23"/>
    <mergeCell ref="C24:D25"/>
    <mergeCell ref="C26:D28"/>
    <mergeCell ref="I24:I25"/>
    <mergeCell ref="I26:I28"/>
    <mergeCell ref="J23:J28"/>
  </mergeCells>
  <phoneticPr fontId="5" type="noConversion"/>
  <hyperlinks>
    <hyperlink ref="H16" r:id="rId1" xr:uid="{28EFFC8B-8F95-4080-B403-553C76DA1988}"/>
  </hyperlinks>
  <pageMargins left="0.7" right="0.7" top="0.75" bottom="0.75" header="0.3" footer="0.3"/>
  <pageSetup paperSize="9" scale="52" orientation="portrait" r:id="rId2"/>
  <colBreaks count="1" manualBreakCount="1">
    <brk id="12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1ABF-25A9-4824-900A-63B11921F9D1}">
  <dimension ref="C1:J32"/>
  <sheetViews>
    <sheetView showGridLines="0" view="pageBreakPreview" topLeftCell="A6" zoomScale="115" zoomScaleNormal="100" zoomScaleSheetLayoutView="115" workbookViewId="0">
      <selection activeCell="N18" sqref="N18"/>
    </sheetView>
  </sheetViews>
  <sheetFormatPr baseColWidth="10" defaultColWidth="8.83203125" defaultRowHeight="15"/>
  <cols>
    <col min="1" max="2" width="1.6640625" customWidth="1"/>
    <col min="4" max="4" width="9" customWidth="1"/>
    <col min="7" max="7" width="15.6640625" customWidth="1"/>
    <col min="8" max="8" width="9.83203125" bestFit="1" customWidth="1"/>
    <col min="9" max="9" width="13" bestFit="1" customWidth="1"/>
    <col min="11" max="11" width="1.6640625" customWidth="1"/>
  </cols>
  <sheetData>
    <row r="1" spans="3:10" ht="10" customHeight="1"/>
    <row r="3" spans="3:10" ht="24" thickBot="1">
      <c r="C3" s="353"/>
      <c r="D3" s="353"/>
      <c r="E3" s="353"/>
      <c r="F3" s="353"/>
      <c r="G3" s="356" t="s">
        <v>0</v>
      </c>
      <c r="H3" s="356"/>
      <c r="I3" s="356"/>
      <c r="J3" s="356"/>
    </row>
    <row r="4" spans="3:10" ht="17">
      <c r="C4" s="353"/>
      <c r="D4" s="353"/>
      <c r="E4" s="353"/>
      <c r="F4" s="353"/>
      <c r="G4" s="2" t="s">
        <v>1</v>
      </c>
      <c r="H4" s="363">
        <v>44876</v>
      </c>
      <c r="I4" s="363"/>
      <c r="J4" s="363"/>
    </row>
    <row r="5" spans="3:10" ht="17">
      <c r="C5" s="353"/>
      <c r="D5" s="353"/>
      <c r="E5" s="353"/>
      <c r="F5" s="353"/>
      <c r="G5" s="3" t="s">
        <v>2</v>
      </c>
      <c r="H5" s="3" t="s">
        <v>149</v>
      </c>
      <c r="I5" s="3"/>
      <c r="J5" s="90" t="s">
        <v>148</v>
      </c>
    </row>
    <row r="6" spans="3:10">
      <c r="C6" s="353"/>
      <c r="D6" s="353"/>
      <c r="E6" s="353"/>
      <c r="F6" s="353"/>
      <c r="G6" s="361" t="s">
        <v>3</v>
      </c>
      <c r="H6" s="357" t="s">
        <v>4</v>
      </c>
      <c r="I6" s="357"/>
      <c r="J6" s="357"/>
    </row>
    <row r="7" spans="3:10">
      <c r="C7" s="353"/>
      <c r="D7" s="353"/>
      <c r="E7" s="353"/>
      <c r="F7" s="353"/>
      <c r="G7" s="362"/>
      <c r="H7" s="358"/>
      <c r="I7" s="358"/>
      <c r="J7" s="358"/>
    </row>
    <row r="8" spans="3:10" ht="17">
      <c r="C8" s="353"/>
      <c r="D8" s="353"/>
      <c r="E8" s="353"/>
      <c r="F8" s="353"/>
      <c r="G8" s="3" t="s">
        <v>147</v>
      </c>
      <c r="H8" s="364" t="s">
        <v>5</v>
      </c>
      <c r="I8" s="364"/>
      <c r="J8" s="364"/>
    </row>
    <row r="9" spans="3:10" ht="17">
      <c r="C9" s="353"/>
      <c r="D9" s="353"/>
      <c r="E9" s="353"/>
      <c r="F9" s="353"/>
      <c r="G9" s="3" t="s">
        <v>6</v>
      </c>
      <c r="H9" s="365" t="s">
        <v>150</v>
      </c>
      <c r="I9" s="364"/>
      <c r="J9" s="364"/>
    </row>
    <row r="11" spans="3:10" ht="21" thickBot="1">
      <c r="C11" s="4" t="s">
        <v>7</v>
      </c>
      <c r="D11" s="6" t="s">
        <v>155</v>
      </c>
      <c r="E11" s="6"/>
      <c r="F11" s="6"/>
      <c r="G11" s="6"/>
      <c r="H11" s="6"/>
      <c r="I11" s="6"/>
      <c r="J11" s="6"/>
    </row>
    <row r="12" spans="3:10">
      <c r="C12" s="7" t="s">
        <v>8</v>
      </c>
      <c r="D12" s="354" t="s">
        <v>153</v>
      </c>
      <c r="E12" s="354"/>
      <c r="F12" s="354"/>
      <c r="G12" s="354"/>
      <c r="H12" s="354"/>
      <c r="I12" s="354"/>
      <c r="J12" s="354"/>
    </row>
    <row r="13" spans="3:10" ht="18" thickBot="1">
      <c r="C13" s="1"/>
      <c r="D13" s="1"/>
      <c r="E13" s="1"/>
      <c r="F13" s="1"/>
      <c r="G13" s="1"/>
      <c r="H13" s="1"/>
      <c r="I13" s="1"/>
      <c r="J13" s="1"/>
    </row>
    <row r="14" spans="3:10" ht="16" thickBot="1">
      <c r="C14" s="355"/>
      <c r="D14" s="355"/>
      <c r="E14" s="355"/>
      <c r="F14" s="355"/>
      <c r="G14" s="8" t="s">
        <v>9</v>
      </c>
      <c r="H14" s="8" t="s">
        <v>10</v>
      </c>
      <c r="I14" s="8" t="s">
        <v>11</v>
      </c>
      <c r="J14" s="88" t="s">
        <v>12</v>
      </c>
    </row>
    <row r="15" spans="3:10">
      <c r="C15" s="359" t="s">
        <v>156</v>
      </c>
      <c r="D15" s="359"/>
      <c r="E15" s="354" t="s">
        <v>157</v>
      </c>
      <c r="F15" s="354"/>
      <c r="G15" s="13">
        <v>1</v>
      </c>
      <c r="H15" s="13"/>
      <c r="I15" s="347">
        <v>6500000</v>
      </c>
      <c r="J15" s="350"/>
    </row>
    <row r="16" spans="3:10">
      <c r="C16" s="360"/>
      <c r="D16" s="360"/>
      <c r="E16" s="89" t="s">
        <v>158</v>
      </c>
      <c r="F16" s="89"/>
      <c r="G16" s="14"/>
      <c r="H16" s="14"/>
      <c r="I16" s="348"/>
      <c r="J16" s="351"/>
    </row>
    <row r="17" spans="3:10">
      <c r="C17" s="360"/>
      <c r="D17" s="360"/>
      <c r="E17" s="89" t="s">
        <v>159</v>
      </c>
      <c r="F17" s="89"/>
      <c r="G17" s="14">
        <v>1</v>
      </c>
      <c r="H17" s="14"/>
      <c r="I17" s="348"/>
      <c r="J17" s="351"/>
    </row>
    <row r="18" spans="3:10">
      <c r="C18" s="360"/>
      <c r="D18" s="360"/>
      <c r="E18" s="89" t="s">
        <v>160</v>
      </c>
      <c r="F18" s="89"/>
      <c r="G18" s="14"/>
      <c r="H18" s="14"/>
      <c r="I18" s="348"/>
      <c r="J18" s="351"/>
    </row>
    <row r="19" spans="3:10">
      <c r="C19" s="360"/>
      <c r="D19" s="360"/>
      <c r="E19" s="89" t="s">
        <v>161</v>
      </c>
      <c r="F19" s="89"/>
      <c r="G19" s="14"/>
      <c r="H19" s="14"/>
      <c r="I19" s="348"/>
      <c r="J19" s="351"/>
    </row>
    <row r="20" spans="3:10">
      <c r="C20" s="360"/>
      <c r="D20" s="360"/>
      <c r="E20" s="364" t="s">
        <v>162</v>
      </c>
      <c r="F20" s="364"/>
      <c r="G20" s="14">
        <v>1</v>
      </c>
      <c r="H20" s="14"/>
      <c r="I20" s="348"/>
      <c r="J20" s="351"/>
    </row>
    <row r="21" spans="3:10" ht="16" thickBot="1">
      <c r="C21" s="360"/>
      <c r="D21" s="360"/>
      <c r="E21" s="364" t="s">
        <v>163</v>
      </c>
      <c r="F21" s="364"/>
      <c r="G21" s="14"/>
      <c r="H21" s="14"/>
      <c r="I21" s="349"/>
      <c r="J21" s="352"/>
    </row>
    <row r="22" spans="3:10" ht="18" thickBot="1">
      <c r="C22" s="375" t="s">
        <v>11</v>
      </c>
      <c r="D22" s="375"/>
      <c r="E22" s="375"/>
      <c r="F22" s="375"/>
      <c r="G22" s="16"/>
      <c r="H22" s="16"/>
      <c r="I22" s="16">
        <v>7150000</v>
      </c>
      <c r="J22" s="87"/>
    </row>
    <row r="23" spans="3:10">
      <c r="C23" s="376"/>
      <c r="D23" s="376"/>
      <c r="E23" s="376"/>
      <c r="F23" s="376"/>
      <c r="G23" s="14"/>
      <c r="H23" s="14"/>
      <c r="I23" s="15"/>
      <c r="J23" s="86"/>
    </row>
    <row r="24" spans="3:10" ht="18" thickBot="1">
      <c r="C24" s="9" t="s">
        <v>13</v>
      </c>
      <c r="D24" s="5"/>
      <c r="E24" s="5"/>
      <c r="F24" s="5"/>
      <c r="G24" s="5"/>
      <c r="H24" s="5"/>
      <c r="I24" s="5"/>
      <c r="J24" s="5"/>
    </row>
    <row r="25" spans="3:10" ht="17">
      <c r="C25" s="7" t="s">
        <v>14</v>
      </c>
      <c r="D25" s="380" t="s">
        <v>164</v>
      </c>
      <c r="E25" s="380"/>
      <c r="F25" s="380"/>
      <c r="G25" s="2"/>
      <c r="H25" s="2"/>
      <c r="I25" s="2"/>
      <c r="J25" s="2"/>
    </row>
    <row r="26" spans="3:10">
      <c r="C26" s="10" t="s">
        <v>15</v>
      </c>
      <c r="D26" s="377">
        <v>6500000</v>
      </c>
      <c r="E26" s="377"/>
      <c r="F26" s="377"/>
      <c r="G26" s="10"/>
      <c r="H26" s="10"/>
      <c r="I26" s="10"/>
      <c r="J26" s="10"/>
    </row>
    <row r="27" spans="3:10">
      <c r="C27" s="11" t="s">
        <v>15</v>
      </c>
      <c r="D27" s="378">
        <v>7150000</v>
      </c>
      <c r="E27" s="379"/>
      <c r="F27" s="379"/>
      <c r="G27" s="12" t="s">
        <v>16</v>
      </c>
      <c r="H27" s="12"/>
      <c r="I27" s="10"/>
      <c r="J27" s="10"/>
    </row>
    <row r="28" spans="3:10" ht="18" thickBot="1">
      <c r="C28" s="1"/>
      <c r="D28" s="1"/>
      <c r="E28" s="1"/>
      <c r="F28" s="1"/>
      <c r="G28" s="1"/>
      <c r="H28" s="1"/>
      <c r="I28" s="1"/>
      <c r="J28" s="1"/>
    </row>
    <row r="29" spans="3:10">
      <c r="C29" s="366" t="s">
        <v>17</v>
      </c>
      <c r="D29" s="367"/>
      <c r="E29" s="367"/>
      <c r="F29" s="367"/>
      <c r="G29" s="367"/>
      <c r="H29" s="367"/>
      <c r="I29" s="367"/>
      <c r="J29" s="368"/>
    </row>
    <row r="30" spans="3:10">
      <c r="C30" s="369"/>
      <c r="D30" s="370"/>
      <c r="E30" s="370"/>
      <c r="F30" s="370"/>
      <c r="G30" s="370"/>
      <c r="H30" s="370"/>
      <c r="I30" s="370"/>
      <c r="J30" s="371"/>
    </row>
    <row r="31" spans="3:10" ht="16" thickBot="1">
      <c r="C31" s="372"/>
      <c r="D31" s="373"/>
      <c r="E31" s="373"/>
      <c r="F31" s="373"/>
      <c r="G31" s="373"/>
      <c r="H31" s="373"/>
      <c r="I31" s="373"/>
      <c r="J31" s="374"/>
    </row>
    <row r="32" spans="3:10" ht="10" customHeight="1"/>
  </sheetData>
  <mergeCells count="21">
    <mergeCell ref="C29:J31"/>
    <mergeCell ref="C22:F22"/>
    <mergeCell ref="C23:F23"/>
    <mergeCell ref="D26:F26"/>
    <mergeCell ref="D27:F27"/>
    <mergeCell ref="D25:F25"/>
    <mergeCell ref="I15:I21"/>
    <mergeCell ref="J15:J21"/>
    <mergeCell ref="C3:F9"/>
    <mergeCell ref="D12:J12"/>
    <mergeCell ref="C14:F14"/>
    <mergeCell ref="G3:J3"/>
    <mergeCell ref="H6:J7"/>
    <mergeCell ref="C15:D21"/>
    <mergeCell ref="G6:G7"/>
    <mergeCell ref="H4:J4"/>
    <mergeCell ref="H8:J8"/>
    <mergeCell ref="H9:J9"/>
    <mergeCell ref="E15:F15"/>
    <mergeCell ref="E20:F20"/>
    <mergeCell ref="E21:F21"/>
  </mergeCells>
  <phoneticPr fontId="5" type="noConversion"/>
  <pageMargins left="0.7" right="0.7" top="0.75" bottom="0.75" header="0.3" footer="0.3"/>
  <pageSetup paperSize="9" scale="9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98FD-7300-412D-AB5C-FA96D34791F0}">
  <sheetPr>
    <pageSetUpPr autoPageBreaks="0" fitToPage="1"/>
  </sheetPr>
  <dimension ref="C1:K45"/>
  <sheetViews>
    <sheetView showGridLines="0" showZeros="0" view="pageBreakPreview" zoomScaleNormal="100" zoomScaleSheetLayoutView="100" workbookViewId="0">
      <selection activeCell="H6" sqref="H6:K6"/>
    </sheetView>
  </sheetViews>
  <sheetFormatPr baseColWidth="10" defaultColWidth="9" defaultRowHeight="17"/>
  <cols>
    <col min="1" max="2" width="1.6640625" style="62" customWidth="1"/>
    <col min="3" max="3" width="13.6640625" style="62" customWidth="1"/>
    <col min="4" max="4" width="10.6640625" style="62" customWidth="1"/>
    <col min="5" max="5" width="12.5" style="62" customWidth="1"/>
    <col min="6" max="7" width="4.1640625" style="62" customWidth="1"/>
    <col min="8" max="8" width="10" style="62" customWidth="1"/>
    <col min="9" max="9" width="12.5" style="62" customWidth="1"/>
    <col min="10" max="10" width="11.1640625" style="62" customWidth="1"/>
    <col min="11" max="11" width="13" style="62" customWidth="1"/>
    <col min="12" max="12" width="1.6640625" style="62" customWidth="1"/>
    <col min="13" max="16384" width="9" style="62"/>
  </cols>
  <sheetData>
    <row r="1" spans="3:11" ht="10" customHeight="1"/>
    <row r="2" spans="3:11" ht="10" customHeight="1"/>
    <row r="3" spans="3:11" s="63" customFormat="1" ht="20" customHeight="1">
      <c r="C3" s="381" t="s">
        <v>102</v>
      </c>
      <c r="D3" s="382"/>
      <c r="E3" s="382"/>
      <c r="F3" s="382"/>
      <c r="G3" s="382"/>
      <c r="H3" s="382"/>
      <c r="I3" s="64"/>
      <c r="J3" s="384"/>
      <c r="K3" s="385"/>
    </row>
    <row r="4" spans="3:11" s="63" customFormat="1" ht="25" customHeight="1" thickBot="1">
      <c r="C4" s="383"/>
      <c r="D4" s="383"/>
      <c r="E4" s="383"/>
      <c r="F4" s="383"/>
      <c r="G4" s="383"/>
      <c r="H4" s="383"/>
      <c r="I4" s="386" t="s">
        <v>166</v>
      </c>
      <c r="J4" s="387"/>
      <c r="K4" s="387"/>
    </row>
    <row r="5" spans="3:11" s="63" customFormat="1" ht="15" customHeight="1">
      <c r="C5" s="388"/>
      <c r="D5" s="388"/>
      <c r="E5" s="388"/>
      <c r="F5" s="388"/>
      <c r="G5" s="388"/>
      <c r="H5" s="388"/>
      <c r="I5" s="388"/>
      <c r="J5" s="388"/>
      <c r="K5" s="388"/>
    </row>
    <row r="6" spans="3:11" s="63" customFormat="1" ht="26.25" customHeight="1">
      <c r="C6" s="389" t="s">
        <v>167</v>
      </c>
      <c r="D6" s="390"/>
      <c r="E6" s="390"/>
      <c r="F6" s="391"/>
      <c r="G6" s="392"/>
      <c r="H6" s="394" t="s">
        <v>103</v>
      </c>
      <c r="I6" s="395"/>
      <c r="J6" s="395"/>
      <c r="K6" s="395"/>
    </row>
    <row r="7" spans="3:11" s="63" customFormat="1" ht="10" customHeight="1">
      <c r="C7" s="396" t="s">
        <v>168</v>
      </c>
      <c r="D7" s="397"/>
      <c r="E7" s="397"/>
      <c r="F7" s="391"/>
      <c r="G7" s="393"/>
      <c r="H7" s="65"/>
      <c r="I7" s="66"/>
      <c r="J7" s="66"/>
      <c r="K7" s="66"/>
    </row>
    <row r="8" spans="3:11" s="63" customFormat="1" ht="18.75" customHeight="1">
      <c r="C8" s="397"/>
      <c r="D8" s="397"/>
      <c r="E8" s="397"/>
      <c r="F8" s="391"/>
      <c r="G8" s="393"/>
      <c r="H8" s="67" t="s">
        <v>104</v>
      </c>
      <c r="I8" s="398" t="s">
        <v>165</v>
      </c>
      <c r="J8" s="399"/>
      <c r="K8" s="399"/>
    </row>
    <row r="9" spans="3:11" s="63" customFormat="1" ht="18.75" customHeight="1">
      <c r="C9" s="401"/>
      <c r="D9" s="402"/>
      <c r="E9" s="402"/>
      <c r="F9" s="391"/>
      <c r="G9" s="393"/>
      <c r="H9" s="67" t="s">
        <v>105</v>
      </c>
      <c r="I9" s="398" t="s">
        <v>106</v>
      </c>
      <c r="J9" s="399"/>
      <c r="K9" s="399"/>
    </row>
    <row r="10" spans="3:11" s="63" customFormat="1" ht="18.75" customHeight="1">
      <c r="C10" s="403" t="s">
        <v>172</v>
      </c>
      <c r="D10" s="403"/>
      <c r="E10" s="403"/>
      <c r="F10" s="391"/>
      <c r="G10" s="393"/>
      <c r="H10" s="67" t="s">
        <v>107</v>
      </c>
      <c r="I10" s="398" t="s">
        <v>108</v>
      </c>
      <c r="J10" s="399"/>
      <c r="K10" s="399"/>
    </row>
    <row r="11" spans="3:11" s="63" customFormat="1" ht="18.75" customHeight="1">
      <c r="C11" s="403" t="s">
        <v>109</v>
      </c>
      <c r="D11" s="403"/>
      <c r="E11" s="403"/>
      <c r="F11" s="391"/>
      <c r="G11" s="393"/>
      <c r="H11" s="67" t="s">
        <v>110</v>
      </c>
      <c r="I11" s="398" t="s">
        <v>111</v>
      </c>
      <c r="J11" s="399"/>
      <c r="K11" s="399"/>
    </row>
    <row r="12" spans="3:11" s="63" customFormat="1" ht="18.75" customHeight="1">
      <c r="C12" s="403" t="s">
        <v>169</v>
      </c>
      <c r="D12" s="403"/>
      <c r="E12" s="403"/>
      <c r="F12" s="391"/>
      <c r="G12" s="393"/>
      <c r="H12" s="67" t="s">
        <v>112</v>
      </c>
      <c r="I12" s="398" t="s">
        <v>170</v>
      </c>
      <c r="J12" s="399"/>
      <c r="K12" s="399"/>
    </row>
    <row r="13" spans="3:11" s="63" customFormat="1" ht="18.75" customHeight="1">
      <c r="C13" s="404" t="s">
        <v>113</v>
      </c>
      <c r="D13" s="405"/>
      <c r="E13" s="405"/>
      <c r="F13" s="391"/>
      <c r="G13" s="393"/>
      <c r="H13" s="68" t="s">
        <v>114</v>
      </c>
      <c r="I13" s="406" t="s">
        <v>171</v>
      </c>
      <c r="J13" s="407"/>
      <c r="K13" s="407"/>
    </row>
    <row r="14" spans="3:11" s="63" customFormat="1" ht="15" customHeight="1">
      <c r="C14" s="408"/>
      <c r="D14" s="408"/>
      <c r="E14" s="408"/>
      <c r="F14" s="408"/>
      <c r="G14" s="408"/>
      <c r="H14" s="408"/>
      <c r="I14" s="408"/>
      <c r="J14" s="408"/>
      <c r="K14" s="408"/>
    </row>
    <row r="15" spans="3:11" s="63" customFormat="1" ht="5" customHeight="1">
      <c r="C15" s="400"/>
      <c r="D15" s="400"/>
      <c r="E15" s="400"/>
      <c r="F15" s="400"/>
      <c r="G15" s="400"/>
      <c r="H15" s="400"/>
      <c r="I15" s="400"/>
      <c r="J15" s="400"/>
      <c r="K15" s="400"/>
    </row>
    <row r="16" spans="3:11" s="63" customFormat="1" ht="30" customHeight="1">
      <c r="C16" s="69" t="s">
        <v>115</v>
      </c>
      <c r="D16" s="409">
        <f>SUM(I33:J33)</f>
        <v>20350000</v>
      </c>
      <c r="E16" s="409"/>
      <c r="F16" s="409"/>
      <c r="G16" s="409"/>
      <c r="H16" s="409"/>
      <c r="I16" s="410">
        <f>D16</f>
        <v>20350000</v>
      </c>
      <c r="J16" s="411"/>
      <c r="K16" s="70"/>
    </row>
    <row r="17" spans="3:11" s="63" customFormat="1" ht="5" customHeight="1">
      <c r="C17" s="71"/>
      <c r="D17" s="71"/>
      <c r="E17" s="71"/>
      <c r="F17" s="71"/>
      <c r="G17" s="71"/>
      <c r="H17" s="71"/>
      <c r="I17" s="71"/>
      <c r="J17" s="71"/>
      <c r="K17" s="71"/>
    </row>
    <row r="18" spans="3:11" s="63" customFormat="1" ht="25" customHeight="1">
      <c r="C18" s="412" t="s">
        <v>116</v>
      </c>
      <c r="D18" s="412"/>
      <c r="E18" s="72" t="s">
        <v>117</v>
      </c>
      <c r="F18" s="412" t="s">
        <v>118</v>
      </c>
      <c r="G18" s="412"/>
      <c r="H18" s="72" t="s">
        <v>119</v>
      </c>
      <c r="I18" s="72" t="s">
        <v>120</v>
      </c>
      <c r="J18" s="72" t="s">
        <v>121</v>
      </c>
      <c r="K18" s="72" t="s">
        <v>122</v>
      </c>
    </row>
    <row r="19" spans="3:11" s="63" customFormat="1" ht="21" customHeight="1">
      <c r="C19" s="413" t="s">
        <v>173</v>
      </c>
      <c r="D19" s="414"/>
      <c r="E19" s="73"/>
      <c r="F19" s="415">
        <v>0</v>
      </c>
      <c r="G19" s="415"/>
      <c r="H19" s="74">
        <v>0</v>
      </c>
      <c r="I19" s="75">
        <v>0</v>
      </c>
      <c r="J19" s="75">
        <v>0</v>
      </c>
      <c r="K19" s="76"/>
    </row>
    <row r="20" spans="3:11" s="63" customFormat="1" ht="21" customHeight="1">
      <c r="C20" s="419" t="s">
        <v>174</v>
      </c>
      <c r="D20" s="419"/>
      <c r="E20" s="419"/>
      <c r="F20" s="416">
        <v>1</v>
      </c>
      <c r="G20" s="416"/>
      <c r="H20" s="78">
        <v>5000000</v>
      </c>
      <c r="I20" s="79">
        <f t="shared" ref="I20:I32" si="0">IF(F20="",H20,F20*H20)</f>
        <v>5000000</v>
      </c>
      <c r="J20" s="79">
        <f t="shared" ref="J20:J32" si="1">I20*0.1</f>
        <v>500000</v>
      </c>
      <c r="K20" s="80"/>
    </row>
    <row r="21" spans="3:11" s="63" customFormat="1" ht="21" customHeight="1">
      <c r="C21" s="417" t="s">
        <v>175</v>
      </c>
      <c r="D21" s="418"/>
      <c r="E21" s="77"/>
      <c r="F21" s="416">
        <v>1</v>
      </c>
      <c r="G21" s="416"/>
      <c r="H21" s="78">
        <v>6500000</v>
      </c>
      <c r="I21" s="79">
        <f t="shared" si="0"/>
        <v>6500000</v>
      </c>
      <c r="J21" s="79">
        <f t="shared" si="1"/>
        <v>650000</v>
      </c>
      <c r="K21" s="80"/>
    </row>
    <row r="22" spans="3:11" s="63" customFormat="1" ht="21" customHeight="1">
      <c r="C22" s="417" t="s">
        <v>176</v>
      </c>
      <c r="D22" s="418"/>
      <c r="E22" s="77"/>
      <c r="F22" s="416">
        <v>1</v>
      </c>
      <c r="G22" s="416"/>
      <c r="H22" s="78">
        <v>7000000</v>
      </c>
      <c r="I22" s="79">
        <f t="shared" si="0"/>
        <v>7000000</v>
      </c>
      <c r="J22" s="79">
        <f t="shared" si="1"/>
        <v>700000</v>
      </c>
      <c r="K22" s="80"/>
    </row>
    <row r="23" spans="3:11" s="63" customFormat="1" ht="21" customHeight="1">
      <c r="C23" s="420"/>
      <c r="D23" s="421"/>
      <c r="E23" s="77"/>
      <c r="F23" s="416"/>
      <c r="G23" s="416"/>
      <c r="H23" s="78"/>
      <c r="I23" s="79">
        <f t="shared" si="0"/>
        <v>0</v>
      </c>
      <c r="J23" s="79">
        <f t="shared" si="1"/>
        <v>0</v>
      </c>
      <c r="K23" s="80"/>
    </row>
    <row r="24" spans="3:11" s="63" customFormat="1" ht="21" customHeight="1">
      <c r="C24" s="420"/>
      <c r="D24" s="421"/>
      <c r="E24" s="77"/>
      <c r="F24" s="416"/>
      <c r="G24" s="416"/>
      <c r="H24" s="78"/>
      <c r="I24" s="79">
        <f t="shared" si="0"/>
        <v>0</v>
      </c>
      <c r="J24" s="79">
        <f t="shared" si="1"/>
        <v>0</v>
      </c>
      <c r="K24" s="80"/>
    </row>
    <row r="25" spans="3:11" s="63" customFormat="1" ht="21" customHeight="1">
      <c r="C25" s="420"/>
      <c r="D25" s="421"/>
      <c r="E25" s="77"/>
      <c r="F25" s="416"/>
      <c r="G25" s="416"/>
      <c r="H25" s="78"/>
      <c r="I25" s="79">
        <f t="shared" si="0"/>
        <v>0</v>
      </c>
      <c r="J25" s="79">
        <f t="shared" si="1"/>
        <v>0</v>
      </c>
      <c r="K25" s="80"/>
    </row>
    <row r="26" spans="3:11" s="63" customFormat="1" ht="21" customHeight="1">
      <c r="C26" s="420"/>
      <c r="D26" s="421"/>
      <c r="E26" s="77"/>
      <c r="F26" s="416"/>
      <c r="G26" s="416"/>
      <c r="H26" s="78"/>
      <c r="I26" s="79">
        <f t="shared" si="0"/>
        <v>0</v>
      </c>
      <c r="J26" s="79">
        <f t="shared" si="1"/>
        <v>0</v>
      </c>
      <c r="K26" s="80"/>
    </row>
    <row r="27" spans="3:11" s="63" customFormat="1" ht="21" customHeight="1">
      <c r="C27" s="420"/>
      <c r="D27" s="421"/>
      <c r="E27" s="77"/>
      <c r="F27" s="416"/>
      <c r="G27" s="416"/>
      <c r="H27" s="78"/>
      <c r="I27" s="79">
        <f t="shared" si="0"/>
        <v>0</v>
      </c>
      <c r="J27" s="79">
        <f t="shared" si="1"/>
        <v>0</v>
      </c>
      <c r="K27" s="80"/>
    </row>
    <row r="28" spans="3:11" s="63" customFormat="1" ht="21" customHeight="1">
      <c r="C28" s="420"/>
      <c r="D28" s="421"/>
      <c r="E28" s="77"/>
      <c r="F28" s="416"/>
      <c r="G28" s="416"/>
      <c r="H28" s="78"/>
      <c r="I28" s="79">
        <f t="shared" si="0"/>
        <v>0</v>
      </c>
      <c r="J28" s="79">
        <f t="shared" si="1"/>
        <v>0</v>
      </c>
      <c r="K28" s="80"/>
    </row>
    <row r="29" spans="3:11" s="63" customFormat="1" ht="21" customHeight="1">
      <c r="C29" s="420"/>
      <c r="D29" s="421"/>
      <c r="E29" s="77"/>
      <c r="F29" s="416"/>
      <c r="G29" s="416"/>
      <c r="H29" s="78"/>
      <c r="I29" s="79">
        <f t="shared" si="0"/>
        <v>0</v>
      </c>
      <c r="J29" s="79">
        <f t="shared" si="1"/>
        <v>0</v>
      </c>
      <c r="K29" s="80"/>
    </row>
    <row r="30" spans="3:11" s="63" customFormat="1" ht="21" customHeight="1">
      <c r="C30" s="420"/>
      <c r="D30" s="421"/>
      <c r="E30" s="77"/>
      <c r="F30" s="416"/>
      <c r="G30" s="416"/>
      <c r="H30" s="78"/>
      <c r="I30" s="79">
        <f t="shared" si="0"/>
        <v>0</v>
      </c>
      <c r="J30" s="79">
        <f t="shared" si="1"/>
        <v>0</v>
      </c>
      <c r="K30" s="80"/>
    </row>
    <row r="31" spans="3:11" s="63" customFormat="1" ht="21" customHeight="1">
      <c r="C31" s="420"/>
      <c r="D31" s="421"/>
      <c r="E31" s="77"/>
      <c r="F31" s="416"/>
      <c r="G31" s="416"/>
      <c r="H31" s="78"/>
      <c r="I31" s="79">
        <f t="shared" si="0"/>
        <v>0</v>
      </c>
      <c r="J31" s="79">
        <f t="shared" si="1"/>
        <v>0</v>
      </c>
      <c r="K31" s="80"/>
    </row>
    <row r="32" spans="3:11" s="63" customFormat="1" ht="21" customHeight="1">
      <c r="C32" s="420"/>
      <c r="D32" s="421"/>
      <c r="E32" s="77"/>
      <c r="F32" s="416"/>
      <c r="G32" s="416"/>
      <c r="H32" s="78"/>
      <c r="I32" s="79">
        <f t="shared" si="0"/>
        <v>0</v>
      </c>
      <c r="J32" s="79">
        <f t="shared" si="1"/>
        <v>0</v>
      </c>
      <c r="K32" s="80"/>
    </row>
    <row r="33" spans="3:11" s="63" customFormat="1" ht="25" customHeight="1">
      <c r="C33" s="424" t="s">
        <v>123</v>
      </c>
      <c r="D33" s="424"/>
      <c r="E33" s="424"/>
      <c r="F33" s="424"/>
      <c r="G33" s="424"/>
      <c r="H33" s="424"/>
      <c r="I33" s="81">
        <f>SUM(I19:I32)</f>
        <v>18500000</v>
      </c>
      <c r="J33" s="81">
        <f>SUM(J19:J32)</f>
        <v>1850000</v>
      </c>
      <c r="K33" s="82"/>
    </row>
    <row r="34" spans="3:11" s="63" customFormat="1" ht="11.25" customHeight="1">
      <c r="C34" s="425"/>
      <c r="D34" s="425"/>
      <c r="E34" s="425"/>
      <c r="F34" s="425"/>
      <c r="G34" s="425"/>
      <c r="H34" s="425"/>
      <c r="I34" s="425"/>
      <c r="J34" s="425"/>
      <c r="K34" s="425"/>
    </row>
    <row r="35" spans="3:11" s="63" customFormat="1" ht="25" customHeight="1">
      <c r="C35" s="426" t="s">
        <v>124</v>
      </c>
      <c r="D35" s="426"/>
      <c r="E35" s="426"/>
      <c r="F35" s="426"/>
      <c r="G35" s="426"/>
      <c r="H35" s="426"/>
      <c r="I35" s="426"/>
      <c r="J35" s="426"/>
      <c r="K35" s="426"/>
    </row>
    <row r="36" spans="3:11" s="63" customFormat="1" ht="5" customHeight="1">
      <c r="C36" s="83"/>
      <c r="D36" s="83"/>
      <c r="E36" s="83"/>
      <c r="F36" s="83"/>
      <c r="G36" s="83"/>
      <c r="H36" s="83"/>
      <c r="I36" s="83"/>
      <c r="J36" s="83"/>
      <c r="K36" s="83"/>
    </row>
    <row r="37" spans="3:11" s="63" customFormat="1" ht="20" customHeight="1">
      <c r="C37" s="422" t="s">
        <v>125</v>
      </c>
      <c r="D37" s="423"/>
      <c r="E37" s="423"/>
      <c r="F37" s="423"/>
      <c r="G37" s="423"/>
      <c r="H37" s="423"/>
      <c r="I37" s="423"/>
      <c r="J37" s="423"/>
      <c r="K37" s="423"/>
    </row>
    <row r="38" spans="3:11" s="63" customFormat="1" ht="20" customHeight="1">
      <c r="C38" s="422" t="s">
        <v>126</v>
      </c>
      <c r="D38" s="423"/>
      <c r="E38" s="423"/>
      <c r="F38" s="423"/>
      <c r="G38" s="423"/>
      <c r="H38" s="423"/>
      <c r="I38" s="423"/>
      <c r="J38" s="423"/>
      <c r="K38" s="423"/>
    </row>
    <row r="39" spans="3:11" s="63" customFormat="1" ht="20" customHeight="1">
      <c r="C39" s="422" t="s">
        <v>151</v>
      </c>
      <c r="D39" s="423"/>
      <c r="E39" s="423"/>
      <c r="F39" s="423"/>
      <c r="G39" s="423"/>
      <c r="H39" s="423"/>
      <c r="I39" s="423"/>
      <c r="J39" s="423"/>
      <c r="K39" s="423"/>
    </row>
    <row r="40" spans="3:11" s="63" customFormat="1" ht="20" customHeight="1">
      <c r="C40" s="422" t="s">
        <v>127</v>
      </c>
      <c r="D40" s="423"/>
      <c r="E40" s="423"/>
      <c r="F40" s="423"/>
      <c r="G40" s="423"/>
      <c r="H40" s="423"/>
      <c r="I40" s="423"/>
      <c r="J40" s="423"/>
      <c r="K40" s="423"/>
    </row>
    <row r="41" spans="3:11" s="63" customFormat="1" ht="4.5" customHeight="1">
      <c r="C41" s="427"/>
      <c r="D41" s="428"/>
      <c r="E41" s="428"/>
      <c r="F41" s="428"/>
      <c r="G41" s="428"/>
      <c r="H41" s="428"/>
      <c r="I41" s="428"/>
      <c r="J41" s="428"/>
      <c r="K41" s="428"/>
    </row>
    <row r="42" spans="3:11" s="63" customFormat="1" ht="10.5" customHeight="1">
      <c r="C42" s="422"/>
      <c r="D42" s="423"/>
      <c r="E42" s="423"/>
      <c r="F42" s="423"/>
      <c r="G42" s="423"/>
      <c r="H42" s="423"/>
      <c r="I42" s="423"/>
      <c r="J42" s="423"/>
      <c r="K42" s="423"/>
    </row>
    <row r="43" spans="3:11" s="63" customFormat="1" ht="5" customHeight="1"/>
    <row r="44" spans="3:11" s="63" customFormat="1" ht="30" customHeight="1">
      <c r="C44" s="84"/>
      <c r="D44" s="85"/>
      <c r="E44" s="85"/>
      <c r="F44" s="85"/>
      <c r="G44" s="85"/>
      <c r="H44" s="85"/>
      <c r="I44" s="85"/>
      <c r="J44" s="85"/>
      <c r="K44" s="85"/>
    </row>
    <row r="45" spans="3:11" s="63" customFormat="1" ht="30" customHeight="1">
      <c r="C45" s="84"/>
      <c r="D45" s="85"/>
      <c r="E45" s="85"/>
      <c r="F45" s="85"/>
      <c r="G45" s="85"/>
      <c r="H45" s="85"/>
      <c r="I45" s="85"/>
      <c r="J45" s="85"/>
      <c r="K45" s="85"/>
    </row>
  </sheetData>
  <mergeCells count="63">
    <mergeCell ref="C38:K38"/>
    <mergeCell ref="C39:K39"/>
    <mergeCell ref="C40:K40"/>
    <mergeCell ref="C41:K41"/>
    <mergeCell ref="C42:K42"/>
    <mergeCell ref="C37:K37"/>
    <mergeCell ref="C29:D29"/>
    <mergeCell ref="F29:G29"/>
    <mergeCell ref="C30:D30"/>
    <mergeCell ref="F30:G30"/>
    <mergeCell ref="C31:D31"/>
    <mergeCell ref="F31:G31"/>
    <mergeCell ref="C32:D32"/>
    <mergeCell ref="F32:G32"/>
    <mergeCell ref="C33:H33"/>
    <mergeCell ref="C34:K34"/>
    <mergeCell ref="C35:K35"/>
    <mergeCell ref="C26:D26"/>
    <mergeCell ref="F26:G26"/>
    <mergeCell ref="C27:D27"/>
    <mergeCell ref="F27:G27"/>
    <mergeCell ref="C28:D28"/>
    <mergeCell ref="F28:G28"/>
    <mergeCell ref="C23:D23"/>
    <mergeCell ref="F23:G23"/>
    <mergeCell ref="C24:D24"/>
    <mergeCell ref="F24:G24"/>
    <mergeCell ref="C25:D25"/>
    <mergeCell ref="F25:G25"/>
    <mergeCell ref="F20:G20"/>
    <mergeCell ref="C21:D21"/>
    <mergeCell ref="F21:G21"/>
    <mergeCell ref="C22:D22"/>
    <mergeCell ref="F22:G22"/>
    <mergeCell ref="C20:E20"/>
    <mergeCell ref="D16:H16"/>
    <mergeCell ref="I16:J16"/>
    <mergeCell ref="C18:D18"/>
    <mergeCell ref="F18:G18"/>
    <mergeCell ref="C19:D19"/>
    <mergeCell ref="F19:G19"/>
    <mergeCell ref="C15:K15"/>
    <mergeCell ref="C9:E9"/>
    <mergeCell ref="I9:K9"/>
    <mergeCell ref="C10:E10"/>
    <mergeCell ref="I10:K10"/>
    <mergeCell ref="C11:E11"/>
    <mergeCell ref="I11:K11"/>
    <mergeCell ref="C12:E12"/>
    <mergeCell ref="I12:K12"/>
    <mergeCell ref="C13:E13"/>
    <mergeCell ref="I13:K13"/>
    <mergeCell ref="C14:K14"/>
    <mergeCell ref="C3:H4"/>
    <mergeCell ref="J3:K3"/>
    <mergeCell ref="I4:K4"/>
    <mergeCell ref="C5:K5"/>
    <mergeCell ref="C6:E6"/>
    <mergeCell ref="F6:F13"/>
    <mergeCell ref="G6:G13"/>
    <mergeCell ref="H6:K6"/>
    <mergeCell ref="C7:E8"/>
    <mergeCell ref="I8:K8"/>
  </mergeCells>
  <phoneticPr fontId="5" type="noConversion"/>
  <hyperlinks>
    <hyperlink ref="I13" r:id="rId1" xr:uid="{8ECA34B5-3F97-4FE7-96C2-8F76240D36B9}"/>
  </hyperlinks>
  <printOptions horizontalCentered="1"/>
  <pageMargins left="0.19685039370078741" right="0.19685039370078741" top="0.39370078740157483" bottom="0.19685039370078741" header="0" footer="0"/>
  <pageSetup paperSize="9" scale="99" orientation="portrait" r:id="rId2"/>
  <ignoredErrors>
    <ignoredError sqref="I20:J32" unlockedFormula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4DF5-3E7E-4AC5-B2A3-26F30A91A267}">
  <sheetPr>
    <pageSetUpPr fitToPage="1"/>
  </sheetPr>
  <dimension ref="A1:AB45"/>
  <sheetViews>
    <sheetView tabSelected="1" showOutlineSymbols="0" zoomScale="130" zoomScaleNormal="130" workbookViewId="0">
      <selection activeCell="N21" sqref="N21:P21"/>
    </sheetView>
  </sheetViews>
  <sheetFormatPr baseColWidth="10" defaultColWidth="9" defaultRowHeight="18" customHeight="1"/>
  <cols>
    <col min="1" max="1" width="0.33203125" style="109" customWidth="1"/>
    <col min="2" max="6" width="5.83203125" style="109" customWidth="1"/>
    <col min="7" max="7" width="0.83203125" style="109" customWidth="1"/>
    <col min="8" max="9" width="4.83203125" style="109" customWidth="1"/>
    <col min="10" max="10" width="0.83203125" style="109" customWidth="1"/>
    <col min="11" max="11" width="4.83203125" style="109" customWidth="1"/>
    <col min="12" max="12" width="4.33203125" style="109" customWidth="1"/>
    <col min="13" max="14" width="0.83203125" style="109" customWidth="1"/>
    <col min="15" max="16" width="4.83203125" style="109" customWidth="1"/>
    <col min="17" max="17" width="0.83203125" style="109" customWidth="1"/>
    <col min="18" max="18" width="9.1640625" style="109" customWidth="1"/>
    <col min="19" max="19" width="0.83203125" style="109" customWidth="1"/>
    <col min="20" max="20" width="9.1640625" style="109" customWidth="1"/>
    <col min="21" max="21" width="0.83203125" style="109" customWidth="1"/>
    <col min="22" max="22" width="11.33203125" style="109" customWidth="1"/>
    <col min="23" max="23" width="8" style="109" customWidth="1"/>
    <col min="24" max="26" width="9" style="109"/>
    <col min="27" max="27" width="48.83203125" style="109" bestFit="1" customWidth="1"/>
    <col min="28" max="16384" width="9" style="109"/>
  </cols>
  <sheetData>
    <row r="1" spans="1:27" ht="2.75" customHeight="1">
      <c r="A1" s="445" t="s">
        <v>215</v>
      </c>
      <c r="B1" s="445"/>
      <c r="C1" s="445"/>
      <c r="D1" s="445"/>
      <c r="E1" s="445"/>
      <c r="F1" s="445"/>
      <c r="G1" s="445"/>
      <c r="H1" s="445"/>
      <c r="O1" s="142"/>
      <c r="P1" s="142"/>
      <c r="Q1" s="142"/>
      <c r="R1" s="142"/>
      <c r="S1" s="142"/>
      <c r="T1" s="142"/>
      <c r="U1" s="142"/>
      <c r="V1" s="142"/>
    </row>
    <row r="2" spans="1:27" ht="15.5" customHeight="1">
      <c r="A2" s="445"/>
      <c r="B2" s="445"/>
      <c r="C2" s="445"/>
      <c r="D2" s="445"/>
      <c r="E2" s="445"/>
      <c r="F2" s="445"/>
      <c r="G2" s="445"/>
      <c r="H2" s="445"/>
      <c r="L2" s="120"/>
      <c r="M2" s="120"/>
      <c r="N2" s="120"/>
      <c r="O2" s="446" t="s">
        <v>207</v>
      </c>
      <c r="P2" s="446"/>
      <c r="Q2" s="446"/>
      <c r="R2" s="446"/>
      <c r="S2" s="446"/>
      <c r="T2" s="446"/>
      <c r="U2" s="446"/>
      <c r="V2" s="446"/>
    </row>
    <row r="3" spans="1:27" ht="25.5" customHeight="1">
      <c r="A3" s="445"/>
      <c r="B3" s="445"/>
      <c r="C3" s="445"/>
      <c r="D3" s="445"/>
      <c r="E3" s="445"/>
      <c r="F3" s="445"/>
      <c r="G3" s="445"/>
      <c r="H3" s="445"/>
      <c r="L3" s="120"/>
      <c r="N3" s="120"/>
      <c r="O3" s="447" t="s">
        <v>214</v>
      </c>
      <c r="P3" s="447"/>
      <c r="Q3" s="448" t="s">
        <v>213</v>
      </c>
      <c r="R3" s="443"/>
      <c r="S3" s="137" t="s">
        <v>212</v>
      </c>
      <c r="T3" s="138" t="s">
        <v>211</v>
      </c>
      <c r="U3" s="141" t="s">
        <v>210</v>
      </c>
      <c r="V3" s="140"/>
    </row>
    <row r="4" spans="1:27" ht="18" customHeight="1">
      <c r="A4" s="123"/>
      <c r="B4" s="442"/>
      <c r="C4" s="442"/>
      <c r="D4" s="442"/>
      <c r="E4" s="442"/>
      <c r="F4" s="442"/>
      <c r="G4" s="442"/>
      <c r="H4" s="442"/>
      <c r="L4" s="120"/>
      <c r="N4" s="120"/>
      <c r="O4" s="139" t="s">
        <v>209</v>
      </c>
      <c r="P4" s="139"/>
      <c r="Q4" s="443" t="s">
        <v>208</v>
      </c>
      <c r="R4" s="443"/>
      <c r="S4" s="443"/>
      <c r="T4" s="443"/>
      <c r="U4" s="443"/>
      <c r="V4" s="443"/>
    </row>
    <row r="5" spans="1:27" ht="18" customHeight="1">
      <c r="A5" s="123"/>
      <c r="B5" s="442"/>
      <c r="C5" s="442"/>
      <c r="D5" s="442"/>
      <c r="E5" s="442"/>
      <c r="F5" s="442"/>
      <c r="G5" s="442"/>
      <c r="H5" s="442"/>
      <c r="L5" s="120"/>
      <c r="N5" s="120"/>
      <c r="O5" s="444" t="s">
        <v>207</v>
      </c>
      <c r="P5" s="444"/>
      <c r="Q5" s="449" t="s">
        <v>206</v>
      </c>
      <c r="R5" s="450"/>
      <c r="S5" s="450"/>
      <c r="T5" s="450"/>
      <c r="U5" s="450"/>
      <c r="V5" s="450"/>
    </row>
    <row r="6" spans="1:27" ht="18" customHeight="1">
      <c r="B6" s="136" t="s">
        <v>205</v>
      </c>
      <c r="C6" s="136"/>
      <c r="D6" s="453">
        <v>45916</v>
      </c>
      <c r="E6" s="453"/>
      <c r="F6" s="453"/>
      <c r="G6" s="453"/>
      <c r="H6" s="453"/>
      <c r="K6" s="120" t="s">
        <v>188</v>
      </c>
      <c r="L6" s="120"/>
      <c r="N6" s="120"/>
      <c r="O6" s="447"/>
      <c r="P6" s="447"/>
      <c r="Q6" s="451"/>
      <c r="R6" s="451"/>
      <c r="S6" s="451"/>
      <c r="T6" s="451"/>
      <c r="U6" s="451"/>
      <c r="V6" s="451"/>
    </row>
    <row r="7" spans="1:27" ht="18" customHeight="1">
      <c r="B7" s="136" t="s">
        <v>204</v>
      </c>
      <c r="C7" s="136"/>
      <c r="D7" s="454" t="s">
        <v>203</v>
      </c>
      <c r="E7" s="454"/>
      <c r="F7" s="454"/>
      <c r="G7" s="454"/>
      <c r="H7" s="454"/>
      <c r="I7" s="120"/>
      <c r="J7" s="120"/>
      <c r="L7" s="120"/>
      <c r="N7" s="120"/>
      <c r="O7" s="455" t="s">
        <v>202</v>
      </c>
      <c r="P7" s="455"/>
      <c r="Q7" s="452" t="s">
        <v>201</v>
      </c>
      <c r="R7" s="452"/>
      <c r="S7" s="134"/>
      <c r="T7" s="135" t="s">
        <v>200</v>
      </c>
      <c r="U7" s="452" t="s">
        <v>199</v>
      </c>
      <c r="V7" s="452"/>
    </row>
    <row r="8" spans="1:27" ht="28.5" customHeight="1">
      <c r="B8" s="120"/>
      <c r="C8" s="133"/>
      <c r="D8" s="133"/>
      <c r="E8" s="133"/>
      <c r="F8" s="133"/>
      <c r="G8" s="133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32"/>
    </row>
    <row r="9" spans="1:27" ht="18" customHeight="1">
      <c r="A9" s="110"/>
      <c r="B9" s="456" t="s">
        <v>198</v>
      </c>
      <c r="C9" s="456"/>
      <c r="D9" s="456"/>
      <c r="E9" s="456"/>
      <c r="F9" s="456"/>
      <c r="G9" s="456"/>
      <c r="H9" s="456"/>
      <c r="I9" s="456"/>
      <c r="J9" s="131"/>
      <c r="K9" s="131"/>
      <c r="L9" s="131"/>
      <c r="M9" s="131"/>
      <c r="N9" s="131"/>
      <c r="O9" s="131"/>
      <c r="P9" s="436"/>
      <c r="Q9" s="131"/>
      <c r="R9" s="434">
        <f>R38+V38</f>
        <v>55000000</v>
      </c>
      <c r="S9" s="435"/>
      <c r="T9" s="435"/>
      <c r="U9" s="435"/>
      <c r="V9" s="435"/>
      <c r="W9" s="129"/>
      <c r="X9" s="129"/>
      <c r="Y9" s="128"/>
    </row>
    <row r="10" spans="1:27" ht="18" customHeight="1">
      <c r="A10" s="110"/>
      <c r="B10" s="456"/>
      <c r="C10" s="456"/>
      <c r="D10" s="456"/>
      <c r="E10" s="456"/>
      <c r="F10" s="456"/>
      <c r="G10" s="456"/>
      <c r="H10" s="456"/>
      <c r="I10" s="456"/>
      <c r="J10" s="131"/>
      <c r="K10" s="131"/>
      <c r="L10" s="131"/>
      <c r="M10" s="131"/>
      <c r="N10" s="131"/>
      <c r="O10" s="131"/>
      <c r="P10" s="436"/>
      <c r="Q10" s="130"/>
      <c r="R10" s="435"/>
      <c r="S10" s="435"/>
      <c r="T10" s="435"/>
      <c r="U10" s="435"/>
      <c r="V10" s="435"/>
      <c r="W10" s="129"/>
      <c r="X10" s="129"/>
      <c r="Y10" s="128"/>
    </row>
    <row r="11" spans="1:27" s="126" customFormat="1" ht="10.5" customHeight="1">
      <c r="A11" s="127"/>
    </row>
    <row r="12" spans="1:27" ht="18" customHeight="1">
      <c r="A12" s="110"/>
      <c r="B12" s="433" t="s">
        <v>197</v>
      </c>
      <c r="C12" s="433"/>
      <c r="D12" s="433"/>
      <c r="E12" s="433"/>
      <c r="F12" s="433"/>
      <c r="G12" s="125"/>
      <c r="H12" s="433" t="s">
        <v>196</v>
      </c>
      <c r="I12" s="433"/>
      <c r="J12" s="125"/>
      <c r="K12" s="433" t="s">
        <v>195</v>
      </c>
      <c r="L12" s="433"/>
      <c r="M12" s="125"/>
      <c r="N12" s="433" t="s">
        <v>194</v>
      </c>
      <c r="O12" s="433"/>
      <c r="P12" s="433"/>
      <c r="Q12" s="124"/>
      <c r="R12" s="437" t="s">
        <v>193</v>
      </c>
      <c r="S12" s="437"/>
      <c r="T12" s="437"/>
      <c r="U12" s="124"/>
      <c r="V12" s="124" t="s">
        <v>192</v>
      </c>
    </row>
    <row r="13" spans="1:27" ht="18" customHeight="1">
      <c r="A13" s="110"/>
      <c r="B13" s="430" t="s">
        <v>331</v>
      </c>
      <c r="C13" s="430"/>
      <c r="D13" s="430"/>
      <c r="E13" s="430"/>
      <c r="F13" s="430"/>
      <c r="G13" s="120"/>
      <c r="H13" s="429">
        <v>3</v>
      </c>
      <c r="I13" s="429"/>
      <c r="J13" s="120"/>
      <c r="K13" s="431">
        <v>1</v>
      </c>
      <c r="L13" s="431"/>
      <c r="M13" s="122"/>
      <c r="N13" s="432">
        <v>400000</v>
      </c>
      <c r="O13" s="432"/>
      <c r="P13" s="432"/>
      <c r="Q13" s="121"/>
      <c r="R13" s="432">
        <f t="shared" ref="R13:R22" si="0">N13*K13*H13</f>
        <v>1200000</v>
      </c>
      <c r="S13" s="432"/>
      <c r="T13" s="432"/>
      <c r="U13" s="121"/>
      <c r="V13" s="121">
        <f t="shared" ref="V13:V22" si="1">R13*0.1</f>
        <v>120000</v>
      </c>
    </row>
    <row r="14" spans="1:27" ht="18" customHeight="1">
      <c r="A14" s="110"/>
      <c r="B14" s="430" t="s">
        <v>332</v>
      </c>
      <c r="C14" s="430"/>
      <c r="D14" s="430"/>
      <c r="E14" s="430"/>
      <c r="F14" s="430"/>
      <c r="G14" s="120"/>
      <c r="H14" s="429">
        <v>3</v>
      </c>
      <c r="I14" s="429"/>
      <c r="J14" s="120"/>
      <c r="K14" s="431">
        <v>1</v>
      </c>
      <c r="L14" s="431"/>
      <c r="M14" s="122"/>
      <c r="N14" s="432">
        <v>400000</v>
      </c>
      <c r="O14" s="432"/>
      <c r="P14" s="432"/>
      <c r="Q14" s="121"/>
      <c r="R14" s="432">
        <f t="shared" si="0"/>
        <v>1200000</v>
      </c>
      <c r="S14" s="432"/>
      <c r="T14" s="432"/>
      <c r="U14" s="121"/>
      <c r="V14" s="121">
        <f t="shared" si="1"/>
        <v>120000</v>
      </c>
      <c r="AA14" s="592"/>
    </row>
    <row r="15" spans="1:27" ht="18" customHeight="1">
      <c r="A15" s="110"/>
      <c r="B15" s="430" t="s">
        <v>333</v>
      </c>
      <c r="C15" s="430"/>
      <c r="D15" s="430"/>
      <c r="E15" s="430"/>
      <c r="F15" s="430"/>
      <c r="G15" s="120"/>
      <c r="H15" s="429">
        <v>4</v>
      </c>
      <c r="I15" s="429"/>
      <c r="J15" s="120"/>
      <c r="K15" s="431">
        <v>1</v>
      </c>
      <c r="L15" s="431"/>
      <c r="M15" s="122"/>
      <c r="N15" s="432">
        <v>400000</v>
      </c>
      <c r="O15" s="432"/>
      <c r="P15" s="432"/>
      <c r="Q15" s="121"/>
      <c r="R15" s="432">
        <f t="shared" si="0"/>
        <v>1600000</v>
      </c>
      <c r="S15" s="432"/>
      <c r="T15" s="432"/>
      <c r="U15" s="121"/>
      <c r="V15" s="121">
        <f t="shared" si="1"/>
        <v>160000</v>
      </c>
      <c r="AA15" s="593" t="s">
        <v>308</v>
      </c>
    </row>
    <row r="16" spans="1:27" ht="18" customHeight="1">
      <c r="A16" s="110"/>
      <c r="B16" s="430" t="s">
        <v>321</v>
      </c>
      <c r="C16" s="430"/>
      <c r="D16" s="430"/>
      <c r="E16" s="430"/>
      <c r="F16" s="430"/>
      <c r="G16" s="120"/>
      <c r="H16" s="429">
        <v>1</v>
      </c>
      <c r="I16" s="429"/>
      <c r="J16" s="120"/>
      <c r="K16" s="431">
        <v>1</v>
      </c>
      <c r="L16" s="431"/>
      <c r="M16" s="122"/>
      <c r="N16" s="432">
        <v>1500000</v>
      </c>
      <c r="O16" s="432"/>
      <c r="P16" s="432"/>
      <c r="Q16" s="121"/>
      <c r="R16" s="432">
        <f t="shared" si="0"/>
        <v>1500000</v>
      </c>
      <c r="S16" s="432"/>
      <c r="T16" s="432"/>
      <c r="U16" s="121"/>
      <c r="V16" s="121">
        <f t="shared" si="1"/>
        <v>150000</v>
      </c>
      <c r="AA16" s="593" t="s">
        <v>309</v>
      </c>
    </row>
    <row r="17" spans="1:28" ht="18" customHeight="1">
      <c r="A17" s="110"/>
      <c r="B17" s="430" t="s">
        <v>322</v>
      </c>
      <c r="C17" s="430"/>
      <c r="D17" s="430"/>
      <c r="E17" s="430"/>
      <c r="F17" s="430"/>
      <c r="G17" s="120"/>
      <c r="H17" s="429">
        <v>1</v>
      </c>
      <c r="I17" s="429"/>
      <c r="J17" s="120"/>
      <c r="K17" s="431">
        <v>1</v>
      </c>
      <c r="L17" s="431"/>
      <c r="M17" s="122"/>
      <c r="N17" s="432">
        <v>3500000</v>
      </c>
      <c r="O17" s="432"/>
      <c r="P17" s="432"/>
      <c r="Q17" s="121"/>
      <c r="R17" s="432">
        <f t="shared" si="0"/>
        <v>3500000</v>
      </c>
      <c r="S17" s="432"/>
      <c r="T17" s="432"/>
      <c r="U17" s="121"/>
      <c r="V17" s="121">
        <f t="shared" si="1"/>
        <v>350000</v>
      </c>
      <c r="AA17" s="593" t="s">
        <v>310</v>
      </c>
    </row>
    <row r="18" spans="1:28" ht="18" customHeight="1">
      <c r="A18" s="110"/>
      <c r="B18" s="430" t="s">
        <v>323</v>
      </c>
      <c r="C18" s="430"/>
      <c r="D18" s="430"/>
      <c r="E18" s="430"/>
      <c r="F18" s="430"/>
      <c r="G18" s="120"/>
      <c r="H18" s="429">
        <v>4</v>
      </c>
      <c r="I18" s="429"/>
      <c r="J18" s="120"/>
      <c r="K18" s="431">
        <v>2</v>
      </c>
      <c r="L18" s="431"/>
      <c r="M18" s="122"/>
      <c r="N18" s="432">
        <v>300000</v>
      </c>
      <c r="O18" s="432"/>
      <c r="P18" s="432"/>
      <c r="Q18" s="121"/>
      <c r="R18" s="432">
        <f t="shared" si="0"/>
        <v>2400000</v>
      </c>
      <c r="S18" s="432"/>
      <c r="T18" s="432"/>
      <c r="U18" s="121"/>
      <c r="V18" s="121">
        <f t="shared" si="1"/>
        <v>240000</v>
      </c>
      <c r="AA18" s="593" t="s">
        <v>311</v>
      </c>
    </row>
    <row r="19" spans="1:28" ht="18" customHeight="1">
      <c r="A19" s="110"/>
      <c r="B19" s="430" t="s">
        <v>324</v>
      </c>
      <c r="C19" s="430"/>
      <c r="D19" s="430"/>
      <c r="E19" s="430"/>
      <c r="F19" s="430"/>
      <c r="G19" s="120"/>
      <c r="H19" s="429">
        <v>1</v>
      </c>
      <c r="I19" s="429"/>
      <c r="J19" s="120"/>
      <c r="K19" s="431">
        <v>1</v>
      </c>
      <c r="L19" s="431"/>
      <c r="M19" s="122"/>
      <c r="N19" s="432">
        <v>1000000</v>
      </c>
      <c r="O19" s="432"/>
      <c r="P19" s="432"/>
      <c r="Q19" s="121"/>
      <c r="R19" s="432">
        <f t="shared" si="0"/>
        <v>1000000</v>
      </c>
      <c r="S19" s="432"/>
      <c r="T19" s="432"/>
      <c r="U19" s="121"/>
      <c r="V19" s="121">
        <f t="shared" si="1"/>
        <v>100000</v>
      </c>
      <c r="AA19" s="593" t="s">
        <v>312</v>
      </c>
      <c r="AB19" s="123"/>
    </row>
    <row r="20" spans="1:28" ht="18" customHeight="1">
      <c r="A20" s="110"/>
      <c r="B20" s="430" t="s">
        <v>325</v>
      </c>
      <c r="C20" s="430"/>
      <c r="D20" s="430"/>
      <c r="E20" s="430"/>
      <c r="F20" s="430"/>
      <c r="G20" s="120"/>
      <c r="H20" s="429">
        <v>1</v>
      </c>
      <c r="I20" s="429"/>
      <c r="J20" s="120"/>
      <c r="K20" s="431">
        <v>1</v>
      </c>
      <c r="L20" s="431"/>
      <c r="M20" s="122"/>
      <c r="N20" s="432">
        <v>2400000</v>
      </c>
      <c r="O20" s="432"/>
      <c r="P20" s="432"/>
      <c r="Q20" s="121"/>
      <c r="R20" s="432">
        <f t="shared" si="0"/>
        <v>2400000</v>
      </c>
      <c r="S20" s="432"/>
      <c r="T20" s="432"/>
      <c r="U20" s="121"/>
      <c r="V20" s="121">
        <f t="shared" si="1"/>
        <v>240000</v>
      </c>
      <c r="AA20" s="593" t="s">
        <v>313</v>
      </c>
    </row>
    <row r="21" spans="1:28" ht="18" customHeight="1">
      <c r="A21" s="110"/>
      <c r="B21" s="430" t="s">
        <v>326</v>
      </c>
      <c r="C21" s="430"/>
      <c r="D21" s="430"/>
      <c r="E21" s="430"/>
      <c r="F21" s="430"/>
      <c r="G21" s="120"/>
      <c r="H21" s="429">
        <v>1</v>
      </c>
      <c r="I21" s="429"/>
      <c r="J21" s="120"/>
      <c r="K21" s="431">
        <v>1</v>
      </c>
      <c r="L21" s="431"/>
      <c r="M21" s="122"/>
      <c r="N21" s="432">
        <v>1500000</v>
      </c>
      <c r="O21" s="432"/>
      <c r="P21" s="432"/>
      <c r="Q21" s="121"/>
      <c r="R21" s="432">
        <f t="shared" si="0"/>
        <v>1500000</v>
      </c>
      <c r="S21" s="432"/>
      <c r="T21" s="432"/>
      <c r="U21" s="121"/>
      <c r="V21" s="121">
        <f t="shared" si="1"/>
        <v>150000</v>
      </c>
      <c r="AA21" s="593" t="s">
        <v>314</v>
      </c>
    </row>
    <row r="22" spans="1:28" ht="18" customHeight="1">
      <c r="A22" s="110"/>
      <c r="B22" s="430" t="s">
        <v>327</v>
      </c>
      <c r="C22" s="430"/>
      <c r="D22" s="430"/>
      <c r="E22" s="430"/>
      <c r="F22" s="430"/>
      <c r="G22" s="120"/>
      <c r="H22" s="429">
        <v>1</v>
      </c>
      <c r="I22" s="429"/>
      <c r="J22" s="120"/>
      <c r="K22" s="431">
        <v>4</v>
      </c>
      <c r="L22" s="431"/>
      <c r="M22" s="122"/>
      <c r="N22" s="432">
        <v>3000000</v>
      </c>
      <c r="O22" s="432"/>
      <c r="P22" s="432"/>
      <c r="Q22" s="121"/>
      <c r="R22" s="432">
        <f t="shared" si="0"/>
        <v>12000000</v>
      </c>
      <c r="S22" s="432"/>
      <c r="T22" s="432"/>
      <c r="U22" s="121"/>
      <c r="V22" s="121">
        <f t="shared" si="1"/>
        <v>1200000</v>
      </c>
      <c r="AA22" s="593" t="s">
        <v>315</v>
      </c>
    </row>
    <row r="23" spans="1:28" ht="18" customHeight="1">
      <c r="A23" s="110"/>
      <c r="B23" s="430" t="s">
        <v>328</v>
      </c>
      <c r="C23" s="430"/>
      <c r="D23" s="430"/>
      <c r="E23" s="430"/>
      <c r="F23" s="430"/>
      <c r="G23" s="120"/>
      <c r="H23" s="429">
        <v>1</v>
      </c>
      <c r="I23" s="429"/>
      <c r="J23" s="120"/>
      <c r="K23" s="431">
        <v>1</v>
      </c>
      <c r="L23" s="431"/>
      <c r="M23" s="122"/>
      <c r="N23" s="432">
        <v>1500000</v>
      </c>
      <c r="O23" s="432"/>
      <c r="P23" s="432"/>
      <c r="Q23" s="121"/>
      <c r="R23" s="432">
        <f t="shared" ref="R23:R25" si="2">N23*K23*H23</f>
        <v>1500000</v>
      </c>
      <c r="S23" s="432"/>
      <c r="T23" s="432"/>
      <c r="U23" s="121"/>
      <c r="V23" s="121">
        <f t="shared" ref="V23:V25" si="3">R23*0.1</f>
        <v>150000</v>
      </c>
      <c r="AA23" s="593" t="s">
        <v>316</v>
      </c>
    </row>
    <row r="24" spans="1:28" ht="18" customHeight="1">
      <c r="A24" s="110"/>
      <c r="B24" s="430" t="s">
        <v>329</v>
      </c>
      <c r="C24" s="430"/>
      <c r="D24" s="430"/>
      <c r="E24" s="430"/>
      <c r="F24" s="430"/>
      <c r="G24" s="120"/>
      <c r="H24" s="429">
        <v>1</v>
      </c>
      <c r="I24" s="429"/>
      <c r="J24" s="120"/>
      <c r="K24" s="431">
        <v>1</v>
      </c>
      <c r="L24" s="431"/>
      <c r="M24" s="122"/>
      <c r="N24" s="432">
        <v>6200000</v>
      </c>
      <c r="O24" s="432"/>
      <c r="P24" s="432"/>
      <c r="Q24" s="121"/>
      <c r="R24" s="432">
        <f t="shared" si="2"/>
        <v>6200000</v>
      </c>
      <c r="S24" s="432"/>
      <c r="T24" s="432"/>
      <c r="U24" s="121"/>
      <c r="V24" s="121">
        <f t="shared" si="3"/>
        <v>620000</v>
      </c>
      <c r="AA24" s="593" t="s">
        <v>317</v>
      </c>
    </row>
    <row r="25" spans="1:28" ht="18" customHeight="1">
      <c r="A25" s="110"/>
      <c r="B25" s="430" t="s">
        <v>330</v>
      </c>
      <c r="C25" s="430"/>
      <c r="D25" s="430"/>
      <c r="E25" s="430"/>
      <c r="F25" s="430"/>
      <c r="G25" s="120"/>
      <c r="H25" s="429">
        <v>1</v>
      </c>
      <c r="I25" s="429"/>
      <c r="J25" s="120"/>
      <c r="K25" s="431">
        <v>1</v>
      </c>
      <c r="L25" s="431"/>
      <c r="M25" s="122"/>
      <c r="N25" s="432">
        <v>6000000</v>
      </c>
      <c r="O25" s="432"/>
      <c r="P25" s="432"/>
      <c r="Q25" s="121"/>
      <c r="R25" s="432">
        <f t="shared" si="2"/>
        <v>6000000</v>
      </c>
      <c r="S25" s="432"/>
      <c r="T25" s="432"/>
      <c r="U25" s="121"/>
      <c r="V25" s="121">
        <f t="shared" si="3"/>
        <v>600000</v>
      </c>
      <c r="AA25" s="593" t="s">
        <v>318</v>
      </c>
    </row>
    <row r="26" spans="1:28" ht="18" customHeight="1">
      <c r="A26" s="110"/>
      <c r="B26" s="430" t="s">
        <v>334</v>
      </c>
      <c r="C26" s="430"/>
      <c r="D26" s="430"/>
      <c r="E26" s="430"/>
      <c r="F26" s="430"/>
      <c r="G26" s="120"/>
      <c r="H26" s="429">
        <v>2</v>
      </c>
      <c r="I26" s="429"/>
      <c r="J26" s="120"/>
      <c r="K26" s="431">
        <v>1</v>
      </c>
      <c r="L26" s="431"/>
      <c r="M26" s="122"/>
      <c r="N26" s="432">
        <v>4000000</v>
      </c>
      <c r="O26" s="432"/>
      <c r="P26" s="432"/>
      <c r="Q26" s="121"/>
      <c r="R26" s="432">
        <f t="shared" ref="R26" si="4">N26*K26*H26</f>
        <v>8000000</v>
      </c>
      <c r="S26" s="432"/>
      <c r="T26" s="432"/>
      <c r="U26" s="121"/>
      <c r="V26" s="121">
        <f t="shared" ref="V26" si="5">R26*0.1</f>
        <v>800000</v>
      </c>
      <c r="AA26" s="593" t="s">
        <v>319</v>
      </c>
    </row>
    <row r="27" spans="1:28" ht="18" customHeight="1">
      <c r="A27" s="110"/>
      <c r="B27" s="430"/>
      <c r="C27" s="430"/>
      <c r="D27" s="430"/>
      <c r="E27" s="430"/>
      <c r="F27" s="430"/>
      <c r="G27" s="120"/>
      <c r="H27" s="429"/>
      <c r="I27" s="429"/>
      <c r="J27" s="120"/>
      <c r="K27" s="440"/>
      <c r="L27" s="440"/>
      <c r="M27" s="119"/>
      <c r="N27" s="441"/>
      <c r="O27" s="441"/>
      <c r="P27" s="441"/>
      <c r="Q27" s="119"/>
      <c r="R27" s="441"/>
      <c r="S27" s="441"/>
      <c r="T27" s="441"/>
      <c r="U27" s="119"/>
      <c r="V27" s="119"/>
      <c r="AA27" s="593" t="s">
        <v>320</v>
      </c>
    </row>
    <row r="28" spans="1:28" ht="18" customHeight="1">
      <c r="A28" s="110"/>
      <c r="B28" s="430"/>
      <c r="C28" s="430"/>
      <c r="D28" s="430"/>
      <c r="E28" s="430"/>
      <c r="F28" s="430"/>
      <c r="G28" s="120"/>
      <c r="H28" s="429"/>
      <c r="I28" s="429"/>
      <c r="J28" s="120"/>
      <c r="K28" s="440"/>
      <c r="L28" s="440"/>
      <c r="M28" s="119"/>
      <c r="N28" s="441"/>
      <c r="O28" s="441"/>
      <c r="P28" s="441"/>
      <c r="Q28" s="119"/>
      <c r="R28" s="441"/>
      <c r="S28" s="441"/>
      <c r="T28" s="441"/>
      <c r="U28" s="119"/>
      <c r="V28" s="119"/>
    </row>
    <row r="29" spans="1:28" ht="18" customHeight="1">
      <c r="A29" s="110"/>
      <c r="B29" s="430"/>
      <c r="C29" s="430"/>
      <c r="D29" s="430"/>
      <c r="E29" s="430"/>
      <c r="F29" s="430"/>
      <c r="G29" s="120"/>
      <c r="H29" s="429"/>
      <c r="I29" s="429"/>
      <c r="J29" s="120"/>
      <c r="K29" s="440"/>
      <c r="L29" s="440"/>
      <c r="M29" s="119"/>
      <c r="N29" s="441"/>
      <c r="O29" s="441"/>
      <c r="P29" s="441"/>
      <c r="Q29" s="119"/>
      <c r="R29" s="441"/>
      <c r="S29" s="441"/>
      <c r="T29" s="441"/>
      <c r="U29" s="119"/>
      <c r="V29" s="119"/>
    </row>
    <row r="30" spans="1:28" ht="18" customHeight="1">
      <c r="A30" s="110"/>
      <c r="B30" s="430"/>
      <c r="C30" s="430"/>
      <c r="D30" s="430"/>
      <c r="E30" s="430"/>
      <c r="F30" s="430"/>
      <c r="G30" s="120"/>
      <c r="H30" s="429"/>
      <c r="I30" s="429"/>
      <c r="J30" s="120"/>
      <c r="K30" s="440"/>
      <c r="L30" s="440"/>
      <c r="M30" s="119"/>
      <c r="N30" s="441"/>
      <c r="O30" s="441"/>
      <c r="P30" s="441"/>
      <c r="Q30" s="119"/>
      <c r="R30" s="441"/>
      <c r="S30" s="441"/>
      <c r="T30" s="441"/>
      <c r="U30" s="119"/>
      <c r="V30" s="119"/>
    </row>
    <row r="31" spans="1:28" ht="18" customHeight="1">
      <c r="A31" s="110"/>
      <c r="B31" s="430"/>
      <c r="C31" s="430"/>
      <c r="D31" s="430"/>
      <c r="E31" s="430"/>
      <c r="F31" s="430"/>
      <c r="G31" s="120"/>
      <c r="H31" s="429"/>
      <c r="I31" s="429"/>
      <c r="J31" s="120"/>
      <c r="K31" s="440"/>
      <c r="L31" s="440"/>
      <c r="M31" s="119"/>
      <c r="N31" s="441"/>
      <c r="O31" s="441"/>
      <c r="P31" s="441"/>
      <c r="Q31" s="119"/>
      <c r="R31" s="441"/>
      <c r="S31" s="441"/>
      <c r="T31" s="441"/>
      <c r="U31" s="119"/>
      <c r="V31" s="119"/>
    </row>
    <row r="32" spans="1:28" ht="18" customHeight="1">
      <c r="A32" s="110"/>
      <c r="B32" s="430"/>
      <c r="C32" s="430"/>
      <c r="D32" s="430"/>
      <c r="E32" s="430"/>
      <c r="F32" s="430"/>
      <c r="G32" s="120"/>
      <c r="H32" s="429"/>
      <c r="I32" s="429"/>
      <c r="J32" s="120"/>
      <c r="K32" s="440"/>
      <c r="L32" s="440"/>
      <c r="M32" s="119"/>
      <c r="N32" s="441"/>
      <c r="O32" s="441"/>
      <c r="P32" s="441"/>
      <c r="Q32" s="119"/>
      <c r="R32" s="441"/>
      <c r="S32" s="441"/>
      <c r="T32" s="441"/>
      <c r="U32" s="119"/>
      <c r="V32" s="119"/>
    </row>
    <row r="33" spans="1:22" ht="18" customHeight="1">
      <c r="A33" s="110"/>
      <c r="B33" s="430"/>
      <c r="C33" s="430"/>
      <c r="D33" s="430"/>
      <c r="E33" s="430"/>
      <c r="F33" s="430"/>
      <c r="G33" s="120"/>
      <c r="H33" s="429"/>
      <c r="I33" s="429"/>
      <c r="J33" s="120"/>
      <c r="K33" s="440"/>
      <c r="L33" s="440"/>
      <c r="M33" s="119"/>
      <c r="N33" s="441"/>
      <c r="O33" s="441"/>
      <c r="P33" s="441"/>
      <c r="Q33" s="119"/>
      <c r="R33" s="441"/>
      <c r="S33" s="441"/>
      <c r="T33" s="441"/>
      <c r="U33" s="119"/>
      <c r="V33" s="119"/>
    </row>
    <row r="34" spans="1:22" ht="18" customHeight="1">
      <c r="A34" s="110"/>
      <c r="B34" s="430"/>
      <c r="C34" s="430"/>
      <c r="D34" s="430"/>
      <c r="E34" s="430"/>
      <c r="F34" s="430"/>
      <c r="G34" s="120"/>
      <c r="H34" s="429"/>
      <c r="I34" s="429"/>
      <c r="J34" s="120"/>
      <c r="K34" s="440"/>
      <c r="L34" s="440"/>
      <c r="M34" s="119"/>
      <c r="N34" s="441"/>
      <c r="O34" s="441"/>
      <c r="P34" s="441"/>
      <c r="Q34" s="119"/>
      <c r="R34" s="441"/>
      <c r="S34" s="441"/>
      <c r="T34" s="441"/>
      <c r="U34" s="119"/>
      <c r="V34" s="119"/>
    </row>
    <row r="35" spans="1:22" ht="18" customHeight="1">
      <c r="A35" s="110"/>
      <c r="B35" s="430"/>
      <c r="C35" s="430"/>
      <c r="D35" s="430"/>
      <c r="E35" s="430"/>
      <c r="F35" s="430"/>
      <c r="G35" s="120"/>
      <c r="H35" s="429"/>
      <c r="I35" s="429"/>
      <c r="J35" s="120"/>
      <c r="K35" s="440"/>
      <c r="L35" s="440"/>
      <c r="M35" s="119"/>
      <c r="N35" s="457"/>
      <c r="O35" s="457"/>
      <c r="P35" s="457"/>
      <c r="Q35" s="119"/>
      <c r="R35" s="457"/>
      <c r="S35" s="457"/>
      <c r="T35" s="457"/>
      <c r="U35" s="119"/>
      <c r="V35" s="119"/>
    </row>
    <row r="36" spans="1:22" ht="18" customHeight="1">
      <c r="A36" s="110"/>
      <c r="B36" s="458" t="s">
        <v>191</v>
      </c>
      <c r="C36" s="458"/>
      <c r="D36" s="458"/>
      <c r="E36" s="458"/>
      <c r="F36" s="458"/>
      <c r="G36" s="117"/>
      <c r="H36" s="458"/>
      <c r="I36" s="458"/>
      <c r="J36" s="117"/>
      <c r="K36" s="459"/>
      <c r="L36" s="459"/>
      <c r="M36" s="116"/>
      <c r="N36" s="459"/>
      <c r="O36" s="459"/>
      <c r="P36" s="459"/>
      <c r="Q36" s="115"/>
      <c r="R36" s="460">
        <f>SUM(R13:R35)</f>
        <v>50000000</v>
      </c>
      <c r="S36" s="460"/>
      <c r="T36" s="460"/>
      <c r="U36" s="114"/>
      <c r="V36" s="113">
        <f>SUM(V13:V35)</f>
        <v>5000000</v>
      </c>
    </row>
    <row r="37" spans="1:22" ht="3" customHeight="1">
      <c r="A37" s="110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</row>
    <row r="38" spans="1:22" ht="18" customHeight="1">
      <c r="A38" s="110"/>
      <c r="B38" s="458" t="s">
        <v>190</v>
      </c>
      <c r="C38" s="458"/>
      <c r="D38" s="458"/>
      <c r="E38" s="458"/>
      <c r="F38" s="458"/>
      <c r="G38" s="117"/>
      <c r="H38" s="458"/>
      <c r="I38" s="458"/>
      <c r="J38" s="117"/>
      <c r="K38" s="459"/>
      <c r="L38" s="459"/>
      <c r="M38" s="116"/>
      <c r="N38" s="459"/>
      <c r="O38" s="459"/>
      <c r="P38" s="459"/>
      <c r="Q38" s="115"/>
      <c r="R38" s="460">
        <f>R36</f>
        <v>50000000</v>
      </c>
      <c r="S38" s="460"/>
      <c r="T38" s="460"/>
      <c r="U38" s="114"/>
      <c r="V38" s="113">
        <f>R38/10</f>
        <v>5000000</v>
      </c>
    </row>
    <row r="39" spans="1:22" ht="4" customHeight="1">
      <c r="A39" s="110"/>
    </row>
    <row r="40" spans="1:22" ht="18" customHeight="1">
      <c r="A40" s="110"/>
      <c r="B40" s="112" t="s">
        <v>189</v>
      </c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 t="s">
        <v>188</v>
      </c>
      <c r="S40" s="112"/>
      <c r="T40" s="112" t="s">
        <v>188</v>
      </c>
      <c r="U40" s="112"/>
      <c r="V40" s="112"/>
    </row>
    <row r="41" spans="1:22" ht="16.5" customHeight="1">
      <c r="A41" s="110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</row>
    <row r="42" spans="1:22" ht="2.25" customHeight="1">
      <c r="A42" s="110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</row>
    <row r="43" spans="1:22" ht="17" customHeight="1">
      <c r="A43" s="110"/>
      <c r="B43" s="438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</row>
    <row r="44" spans="1:22" ht="3" customHeight="1">
      <c r="A44" s="110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</row>
    <row r="45" spans="1:22" ht="17" customHeight="1">
      <c r="A45" s="110"/>
      <c r="B45" s="438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</row>
  </sheetData>
  <mergeCells count="150">
    <mergeCell ref="B43:V43"/>
    <mergeCell ref="R19:T19"/>
    <mergeCell ref="N35:P35"/>
    <mergeCell ref="R35:T35"/>
    <mergeCell ref="H36:I36"/>
    <mergeCell ref="K36:L36"/>
    <mergeCell ref="N36:P36"/>
    <mergeCell ref="R36:T36"/>
    <mergeCell ref="R27:T27"/>
    <mergeCell ref="R22:T22"/>
    <mergeCell ref="K38:L38"/>
    <mergeCell ref="N38:P38"/>
    <mergeCell ref="R38:T38"/>
    <mergeCell ref="R20:T20"/>
    <mergeCell ref="B38:F38"/>
    <mergeCell ref="H38:I38"/>
    <mergeCell ref="B34:F34"/>
    <mergeCell ref="H34:I34"/>
    <mergeCell ref="K34:L34"/>
    <mergeCell ref="N34:P34"/>
    <mergeCell ref="R32:T32"/>
    <mergeCell ref="B33:F33"/>
    <mergeCell ref="H33:I33"/>
    <mergeCell ref="B36:F36"/>
    <mergeCell ref="B32:F32"/>
    <mergeCell ref="H32:I32"/>
    <mergeCell ref="K32:L32"/>
    <mergeCell ref="N32:P32"/>
    <mergeCell ref="R34:T34"/>
    <mergeCell ref="B35:F35"/>
    <mergeCell ref="H35:I35"/>
    <mergeCell ref="K35:L35"/>
    <mergeCell ref="K33:L33"/>
    <mergeCell ref="N33:P33"/>
    <mergeCell ref="R33:T33"/>
    <mergeCell ref="B31:F31"/>
    <mergeCell ref="H31:I31"/>
    <mergeCell ref="K31:L31"/>
    <mergeCell ref="N31:P31"/>
    <mergeCell ref="R31:T31"/>
    <mergeCell ref="B28:F28"/>
    <mergeCell ref="R28:T28"/>
    <mergeCell ref="N28:P28"/>
    <mergeCell ref="H28:I28"/>
    <mergeCell ref="K30:L30"/>
    <mergeCell ref="N30:P30"/>
    <mergeCell ref="R30:T30"/>
    <mergeCell ref="B30:F30"/>
    <mergeCell ref="H30:I30"/>
    <mergeCell ref="B29:F29"/>
    <mergeCell ref="H29:I29"/>
    <mergeCell ref="K29:L29"/>
    <mergeCell ref="N29:P29"/>
    <mergeCell ref="R29:T29"/>
    <mergeCell ref="K28:L28"/>
    <mergeCell ref="R24:T24"/>
    <mergeCell ref="B25:F25"/>
    <mergeCell ref="H25:I25"/>
    <mergeCell ref="K25:L25"/>
    <mergeCell ref="N25:P25"/>
    <mergeCell ref="K27:L27"/>
    <mergeCell ref="R25:T25"/>
    <mergeCell ref="B24:F24"/>
    <mergeCell ref="H24:I24"/>
    <mergeCell ref="B27:F27"/>
    <mergeCell ref="N27:P27"/>
    <mergeCell ref="B26:F26"/>
    <mergeCell ref="H26:I26"/>
    <mergeCell ref="K26:L26"/>
    <mergeCell ref="N26:P26"/>
    <mergeCell ref="K24:L24"/>
    <mergeCell ref="N24:P24"/>
    <mergeCell ref="H27:I27"/>
    <mergeCell ref="R26:T26"/>
    <mergeCell ref="R23:T23"/>
    <mergeCell ref="R18:T18"/>
    <mergeCell ref="B22:F22"/>
    <mergeCell ref="H22:I22"/>
    <mergeCell ref="K22:L22"/>
    <mergeCell ref="N22:P22"/>
    <mergeCell ref="B21:F21"/>
    <mergeCell ref="H21:I21"/>
    <mergeCell ref="K21:L21"/>
    <mergeCell ref="N21:P21"/>
    <mergeCell ref="K19:L19"/>
    <mergeCell ref="N19:P19"/>
    <mergeCell ref="B4:H5"/>
    <mergeCell ref="Q4:V4"/>
    <mergeCell ref="O5:P5"/>
    <mergeCell ref="B14:F14"/>
    <mergeCell ref="H14:I14"/>
    <mergeCell ref="K14:L14"/>
    <mergeCell ref="N14:P14"/>
    <mergeCell ref="R14:T14"/>
    <mergeCell ref="A1:H3"/>
    <mergeCell ref="O2:V2"/>
    <mergeCell ref="O3:P3"/>
    <mergeCell ref="Q3:R3"/>
    <mergeCell ref="Q5:V6"/>
    <mergeCell ref="Q7:R7"/>
    <mergeCell ref="U7:V7"/>
    <mergeCell ref="H12:I12"/>
    <mergeCell ref="K12:L12"/>
    <mergeCell ref="N12:P12"/>
    <mergeCell ref="D6:H6"/>
    <mergeCell ref="O6:P6"/>
    <mergeCell ref="D7:H7"/>
    <mergeCell ref="O7:P7"/>
    <mergeCell ref="R13:T13"/>
    <mergeCell ref="B9:I10"/>
    <mergeCell ref="B45:V45"/>
    <mergeCell ref="B41:V41"/>
    <mergeCell ref="R17:T17"/>
    <mergeCell ref="B16:F16"/>
    <mergeCell ref="R16:T16"/>
    <mergeCell ref="B17:F17"/>
    <mergeCell ref="H17:I17"/>
    <mergeCell ref="K17:L17"/>
    <mergeCell ref="N17:P17"/>
    <mergeCell ref="K16:L16"/>
    <mergeCell ref="N16:P16"/>
    <mergeCell ref="R21:T21"/>
    <mergeCell ref="B20:F20"/>
    <mergeCell ref="H20:I20"/>
    <mergeCell ref="K20:L20"/>
    <mergeCell ref="N20:P20"/>
    <mergeCell ref="B18:F18"/>
    <mergeCell ref="H18:I18"/>
    <mergeCell ref="B19:F19"/>
    <mergeCell ref="H19:I19"/>
    <mergeCell ref="B23:F23"/>
    <mergeCell ref="H23:I23"/>
    <mergeCell ref="K23:L23"/>
    <mergeCell ref="N23:P23"/>
    <mergeCell ref="H16:I16"/>
    <mergeCell ref="B13:F13"/>
    <mergeCell ref="H13:I13"/>
    <mergeCell ref="K13:L13"/>
    <mergeCell ref="N13:P13"/>
    <mergeCell ref="K18:L18"/>
    <mergeCell ref="N18:P18"/>
    <mergeCell ref="B12:F12"/>
    <mergeCell ref="R9:V10"/>
    <mergeCell ref="P9:P10"/>
    <mergeCell ref="R12:T12"/>
    <mergeCell ref="B15:F15"/>
    <mergeCell ref="H15:I15"/>
    <mergeCell ref="K15:L15"/>
    <mergeCell ref="N15:P15"/>
    <mergeCell ref="R15:T15"/>
  </mergeCells>
  <phoneticPr fontId="5" type="noConversion"/>
  <printOptions horizontalCentered="1"/>
  <pageMargins left="0.59055118110236227" right="0.59055118110236227" top="0.78740157480314965" bottom="0.59055118110236227" header="0" footer="0"/>
  <pageSetup paperSize="9" scale="90" fitToHeight="0" orientation="portrait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4B93-4600-4AFE-944B-03C2349022D2}">
  <dimension ref="C1:O31"/>
  <sheetViews>
    <sheetView showGridLines="0" view="pageBreakPreview" zoomScale="70" zoomScaleNormal="70" zoomScaleSheetLayoutView="70" workbookViewId="0">
      <selection activeCell="N25" sqref="N25"/>
    </sheetView>
  </sheetViews>
  <sheetFormatPr baseColWidth="10" defaultColWidth="8.83203125" defaultRowHeight="15"/>
  <cols>
    <col min="1" max="2" width="1.6640625" customWidth="1"/>
    <col min="3" max="4" width="12.1640625" customWidth="1"/>
    <col min="5" max="5" width="49.33203125" bestFit="1" customWidth="1"/>
    <col min="6" max="9" width="12.83203125" customWidth="1"/>
    <col min="10" max="10" width="19.1640625" customWidth="1"/>
    <col min="11" max="12" width="1.6640625" customWidth="1"/>
    <col min="13" max="13" width="15.1640625" bestFit="1" customWidth="1"/>
    <col min="14" max="15" width="13.5" customWidth="1"/>
  </cols>
  <sheetData>
    <row r="1" spans="3:15" ht="10" customHeight="1">
      <c r="C1" s="54"/>
      <c r="D1" s="55"/>
      <c r="E1" s="56"/>
      <c r="F1" s="55"/>
      <c r="G1" s="55"/>
      <c r="H1" s="55"/>
      <c r="I1" s="57"/>
      <c r="J1" s="56"/>
      <c r="K1" s="20"/>
      <c r="L1" s="20"/>
      <c r="M1" s="17"/>
      <c r="N1" s="17"/>
      <c r="O1" s="17"/>
    </row>
    <row r="2" spans="3:15" ht="9.75" customHeight="1">
      <c r="C2" s="54"/>
      <c r="D2" s="55"/>
      <c r="E2" s="56"/>
      <c r="F2" s="55"/>
      <c r="G2" s="55"/>
      <c r="H2" s="55"/>
      <c r="I2" s="57"/>
      <c r="J2" s="56"/>
      <c r="K2" s="20"/>
      <c r="L2" s="20"/>
      <c r="M2" s="17"/>
      <c r="N2" s="17"/>
      <c r="O2" s="17"/>
    </row>
    <row r="3" spans="3:15" ht="43.5" customHeight="1">
      <c r="C3" s="483" t="s">
        <v>101</v>
      </c>
      <c r="D3" s="483"/>
      <c r="E3" s="483"/>
      <c r="F3" s="483"/>
      <c r="G3" s="483"/>
      <c r="H3" s="483"/>
      <c r="I3" s="483"/>
      <c r="J3" s="483"/>
      <c r="K3" s="20"/>
      <c r="L3" s="20"/>
      <c r="M3" s="17"/>
      <c r="N3" s="17"/>
      <c r="O3" s="17"/>
    </row>
    <row r="4" spans="3:15" ht="7.5" customHeight="1">
      <c r="C4" s="54"/>
      <c r="D4" s="54"/>
      <c r="E4" s="54"/>
      <c r="F4" s="54"/>
      <c r="G4" s="54"/>
      <c r="H4" s="54"/>
      <c r="I4" s="54"/>
      <c r="J4" s="54"/>
      <c r="K4" s="20"/>
      <c r="L4" s="20"/>
      <c r="M4" s="17"/>
      <c r="N4" s="17"/>
      <c r="O4" s="17"/>
    </row>
    <row r="5" spans="3:15" ht="26.25" customHeight="1">
      <c r="C5" s="477" t="s">
        <v>70</v>
      </c>
      <c r="D5" s="477"/>
      <c r="E5" s="59">
        <v>44804</v>
      </c>
      <c r="F5" s="477" t="s">
        <v>71</v>
      </c>
      <c r="G5" s="477"/>
      <c r="H5" s="478" t="s">
        <v>72</v>
      </c>
      <c r="I5" s="478"/>
      <c r="J5" s="478"/>
      <c r="K5" s="20"/>
      <c r="L5" s="20"/>
      <c r="M5" s="22"/>
      <c r="N5" s="22"/>
      <c r="O5" s="23"/>
    </row>
    <row r="6" spans="3:15" ht="26.25" customHeight="1">
      <c r="C6" s="477" t="s">
        <v>73</v>
      </c>
      <c r="D6" s="477"/>
      <c r="E6" s="53" t="s">
        <v>132</v>
      </c>
      <c r="F6" s="477" t="s">
        <v>74</v>
      </c>
      <c r="G6" s="477"/>
      <c r="H6" s="478" t="s">
        <v>187</v>
      </c>
      <c r="I6" s="478"/>
      <c r="J6" s="478"/>
      <c r="K6" s="20"/>
      <c r="L6" s="20"/>
      <c r="M6" s="22"/>
      <c r="N6" s="22"/>
      <c r="O6" s="17"/>
    </row>
    <row r="7" spans="3:15" ht="26.25" customHeight="1">
      <c r="C7" s="477" t="s">
        <v>75</v>
      </c>
      <c r="D7" s="477"/>
      <c r="E7" s="53" t="s">
        <v>129</v>
      </c>
      <c r="F7" s="477" t="s">
        <v>76</v>
      </c>
      <c r="G7" s="477"/>
      <c r="H7" s="478" t="s">
        <v>77</v>
      </c>
      <c r="I7" s="478"/>
      <c r="J7" s="478"/>
      <c r="K7" s="20"/>
      <c r="L7" s="20"/>
      <c r="M7" s="22"/>
      <c r="N7" s="22"/>
      <c r="O7" s="17"/>
    </row>
    <row r="8" spans="3:15" ht="26.25" customHeight="1">
      <c r="C8" s="477" t="s">
        <v>78</v>
      </c>
      <c r="D8" s="477"/>
      <c r="E8" s="53" t="s">
        <v>128</v>
      </c>
      <c r="F8" s="477" t="s">
        <v>79</v>
      </c>
      <c r="G8" s="477"/>
      <c r="H8" s="478" t="s">
        <v>80</v>
      </c>
      <c r="I8" s="478"/>
      <c r="J8" s="478"/>
      <c r="K8" s="49"/>
      <c r="L8" s="49"/>
      <c r="M8" s="22"/>
      <c r="N8" s="22"/>
      <c r="O8" s="17"/>
    </row>
    <row r="9" spans="3:15" ht="26.25" customHeight="1">
      <c r="C9" s="477" t="s">
        <v>81</v>
      </c>
      <c r="D9" s="477"/>
      <c r="E9" s="53" t="s">
        <v>130</v>
      </c>
      <c r="F9" s="477" t="s">
        <v>82</v>
      </c>
      <c r="G9" s="477"/>
      <c r="H9" s="478" t="s">
        <v>83</v>
      </c>
      <c r="I9" s="478"/>
      <c r="J9" s="478"/>
      <c r="K9" s="49"/>
      <c r="L9" s="49"/>
      <c r="M9" s="17"/>
      <c r="N9" s="17"/>
      <c r="O9" s="17"/>
    </row>
    <row r="10" spans="3:15" ht="26.25" customHeight="1">
      <c r="C10" s="477" t="s">
        <v>84</v>
      </c>
      <c r="D10" s="477"/>
      <c r="E10" s="53" t="s">
        <v>131</v>
      </c>
      <c r="F10" s="477" t="s">
        <v>85</v>
      </c>
      <c r="G10" s="477"/>
      <c r="H10" s="476" t="s">
        <v>86</v>
      </c>
      <c r="I10" s="476"/>
      <c r="J10" s="476"/>
      <c r="K10" s="49"/>
      <c r="L10" s="49"/>
      <c r="M10" s="17"/>
      <c r="N10" s="17"/>
      <c r="O10" s="34"/>
    </row>
    <row r="11" spans="3:15" ht="26.25" customHeight="1">
      <c r="C11" s="461" t="s">
        <v>93</v>
      </c>
      <c r="D11" s="461"/>
      <c r="E11" s="58">
        <v>17699999.899999999</v>
      </c>
      <c r="F11" s="477" t="s">
        <v>87</v>
      </c>
      <c r="G11" s="477"/>
      <c r="H11" s="478" t="s">
        <v>88</v>
      </c>
      <c r="I11" s="478"/>
      <c r="J11" s="478"/>
      <c r="K11" s="50"/>
      <c r="L11" s="50"/>
      <c r="M11" s="17"/>
      <c r="N11" s="22"/>
      <c r="O11" s="22"/>
    </row>
    <row r="12" spans="3:15" ht="41.25" customHeight="1">
      <c r="C12" s="484" t="s">
        <v>92</v>
      </c>
      <c r="D12" s="484"/>
      <c r="E12" s="484"/>
      <c r="F12" s="484"/>
      <c r="G12" s="484"/>
      <c r="H12" s="484"/>
      <c r="I12" s="484"/>
      <c r="J12" s="484"/>
      <c r="K12" s="49"/>
      <c r="L12" s="49"/>
      <c r="M12" s="17"/>
      <c r="N12" s="22"/>
      <c r="O12" s="22"/>
    </row>
    <row r="13" spans="3:15" ht="42" customHeight="1" thickBot="1">
      <c r="C13" s="475" t="s">
        <v>89</v>
      </c>
      <c r="D13" s="475"/>
      <c r="E13" s="61" t="s">
        <v>97</v>
      </c>
      <c r="F13" s="61" t="s">
        <v>100</v>
      </c>
      <c r="G13" s="61" t="s">
        <v>99</v>
      </c>
      <c r="H13" s="61" t="s">
        <v>98</v>
      </c>
      <c r="I13" s="61" t="s">
        <v>90</v>
      </c>
      <c r="J13" s="61" t="s">
        <v>91</v>
      </c>
      <c r="K13" s="49"/>
      <c r="L13" s="49"/>
      <c r="M13" s="17"/>
      <c r="N13" s="17"/>
      <c r="O13" s="17"/>
    </row>
    <row r="14" spans="3:15" ht="24" customHeight="1" thickTop="1">
      <c r="C14" s="463" t="s">
        <v>133</v>
      </c>
      <c r="D14" s="464"/>
      <c r="E14" s="53" t="s">
        <v>137</v>
      </c>
      <c r="F14" s="472">
        <v>10000000</v>
      </c>
      <c r="G14" s="472">
        <v>1</v>
      </c>
      <c r="H14" s="472">
        <v>20</v>
      </c>
      <c r="I14" s="469">
        <f>F14*G14</f>
        <v>10000000</v>
      </c>
      <c r="J14" s="482"/>
      <c r="K14" s="19"/>
      <c r="L14" s="19"/>
      <c r="M14" s="17"/>
      <c r="N14" s="17"/>
      <c r="O14" s="17"/>
    </row>
    <row r="15" spans="3:15" ht="24" customHeight="1">
      <c r="C15" s="465"/>
      <c r="D15" s="466"/>
      <c r="E15" s="53" t="s">
        <v>138</v>
      </c>
      <c r="F15" s="473"/>
      <c r="G15" s="473"/>
      <c r="H15" s="473"/>
      <c r="I15" s="470"/>
      <c r="J15" s="482"/>
      <c r="K15" s="19"/>
      <c r="L15" s="19"/>
      <c r="M15" s="17"/>
      <c r="N15" s="17"/>
      <c r="O15" s="17"/>
    </row>
    <row r="16" spans="3:15" ht="24" customHeight="1">
      <c r="C16" s="465"/>
      <c r="D16" s="466"/>
      <c r="E16" s="53" t="s">
        <v>139</v>
      </c>
      <c r="F16" s="473"/>
      <c r="G16" s="473"/>
      <c r="H16" s="473"/>
      <c r="I16" s="470"/>
      <c r="J16" s="482"/>
      <c r="K16" s="19"/>
      <c r="L16" s="19"/>
      <c r="M16" s="17"/>
      <c r="N16" s="17"/>
      <c r="O16" s="17"/>
    </row>
    <row r="17" spans="3:15" ht="24" customHeight="1">
      <c r="C17" s="467"/>
      <c r="D17" s="468"/>
      <c r="E17" s="53" t="s">
        <v>140</v>
      </c>
      <c r="F17" s="474"/>
      <c r="G17" s="474"/>
      <c r="H17" s="474"/>
      <c r="I17" s="471"/>
      <c r="J17" s="482"/>
      <c r="K17" s="19"/>
      <c r="L17" s="19"/>
      <c r="M17" s="17"/>
      <c r="N17" s="17"/>
      <c r="O17" s="17"/>
    </row>
    <row r="18" spans="3:15" ht="24" customHeight="1">
      <c r="C18" s="461" t="s">
        <v>134</v>
      </c>
      <c r="D18" s="461"/>
      <c r="E18" s="53" t="s">
        <v>141</v>
      </c>
      <c r="F18" s="462">
        <v>300000</v>
      </c>
      <c r="G18" s="462">
        <v>3</v>
      </c>
      <c r="H18" s="462">
        <v>14</v>
      </c>
      <c r="I18" s="481">
        <f t="shared" ref="I18:I22" si="0">F18*G18</f>
        <v>900000</v>
      </c>
      <c r="J18" s="482"/>
      <c r="K18" s="33"/>
      <c r="L18" s="33"/>
      <c r="M18" s="17"/>
      <c r="N18" s="17"/>
      <c r="O18" s="17"/>
    </row>
    <row r="19" spans="3:15" ht="24" customHeight="1">
      <c r="C19" s="461"/>
      <c r="D19" s="461"/>
      <c r="E19" s="53" t="s">
        <v>142</v>
      </c>
      <c r="F19" s="462"/>
      <c r="G19" s="462"/>
      <c r="H19" s="462"/>
      <c r="I19" s="481"/>
      <c r="J19" s="482"/>
      <c r="K19" s="33"/>
      <c r="L19" s="33"/>
      <c r="M19" s="17"/>
      <c r="N19" s="17"/>
      <c r="O19" s="34"/>
    </row>
    <row r="20" spans="3:15" ht="24" customHeight="1">
      <c r="C20" s="477" t="s">
        <v>135</v>
      </c>
      <c r="D20" s="477"/>
      <c r="E20" s="53" t="s">
        <v>143</v>
      </c>
      <c r="F20" s="462">
        <v>1500000</v>
      </c>
      <c r="G20" s="462">
        <v>2</v>
      </c>
      <c r="H20" s="462">
        <v>60</v>
      </c>
      <c r="I20" s="481">
        <f t="shared" si="0"/>
        <v>3000000</v>
      </c>
      <c r="J20" s="482"/>
      <c r="K20" s="33"/>
      <c r="L20" s="33"/>
      <c r="M20" s="17"/>
      <c r="N20" s="22"/>
      <c r="O20" s="22"/>
    </row>
    <row r="21" spans="3:15" ht="24" customHeight="1">
      <c r="C21" s="477"/>
      <c r="D21" s="477"/>
      <c r="E21" s="53" t="s">
        <v>144</v>
      </c>
      <c r="F21" s="462"/>
      <c r="G21" s="462"/>
      <c r="H21" s="462"/>
      <c r="I21" s="481"/>
      <c r="J21" s="482"/>
      <c r="K21" s="33"/>
      <c r="L21" s="33"/>
      <c r="M21" s="17"/>
      <c r="N21" s="22"/>
      <c r="O21" s="22"/>
    </row>
    <row r="22" spans="3:15" ht="24" customHeight="1">
      <c r="C22" s="461" t="s">
        <v>136</v>
      </c>
      <c r="D22" s="461"/>
      <c r="E22" s="53" t="s">
        <v>145</v>
      </c>
      <c r="F22" s="462">
        <v>1200000</v>
      </c>
      <c r="G22" s="462">
        <v>3</v>
      </c>
      <c r="H22" s="462">
        <v>20</v>
      </c>
      <c r="I22" s="481">
        <f t="shared" si="0"/>
        <v>3600000</v>
      </c>
      <c r="J22" s="482"/>
      <c r="K22" s="52"/>
      <c r="L22" s="52"/>
      <c r="M22" s="17"/>
      <c r="N22" s="17"/>
      <c r="O22" s="22"/>
    </row>
    <row r="23" spans="3:15" ht="24" customHeight="1">
      <c r="C23" s="461"/>
      <c r="D23" s="461"/>
      <c r="E23" s="53" t="s">
        <v>146</v>
      </c>
      <c r="F23" s="462"/>
      <c r="G23" s="462"/>
      <c r="H23" s="462"/>
      <c r="I23" s="481"/>
      <c r="J23" s="482"/>
      <c r="K23" s="52"/>
      <c r="L23" s="52"/>
      <c r="M23" s="17"/>
      <c r="N23" s="17"/>
      <c r="O23" s="17"/>
    </row>
    <row r="24" spans="3:15" ht="24" customHeight="1">
      <c r="C24" s="461"/>
      <c r="D24" s="461"/>
      <c r="E24" s="53"/>
      <c r="F24" s="462"/>
      <c r="G24" s="462"/>
      <c r="H24" s="462"/>
      <c r="I24" s="481"/>
      <c r="J24" s="482"/>
      <c r="K24" s="52"/>
      <c r="L24" s="52"/>
      <c r="M24" s="17"/>
      <c r="N24" s="17"/>
      <c r="O24" s="17"/>
    </row>
    <row r="25" spans="3:15" ht="24" customHeight="1">
      <c r="C25" s="461"/>
      <c r="D25" s="461"/>
      <c r="E25" s="53"/>
      <c r="F25" s="462"/>
      <c r="G25" s="462"/>
      <c r="H25" s="462"/>
      <c r="I25" s="481"/>
      <c r="J25" s="482"/>
      <c r="K25" s="52"/>
      <c r="L25" s="52"/>
      <c r="M25" s="17"/>
      <c r="N25" s="17"/>
      <c r="O25" s="17"/>
    </row>
    <row r="26" spans="3:15" ht="24" customHeight="1">
      <c r="C26" s="461"/>
      <c r="D26" s="461"/>
      <c r="E26" s="53"/>
      <c r="F26" s="462"/>
      <c r="G26" s="462"/>
      <c r="H26" s="462"/>
      <c r="I26" s="481"/>
      <c r="J26" s="482"/>
      <c r="K26" s="52"/>
      <c r="L26" s="52"/>
    </row>
    <row r="27" spans="3:15" ht="24" customHeight="1">
      <c r="C27" s="461"/>
      <c r="D27" s="461"/>
      <c r="E27" s="53"/>
      <c r="F27" s="462"/>
      <c r="G27" s="462"/>
      <c r="H27" s="462"/>
      <c r="I27" s="481"/>
      <c r="J27" s="482"/>
      <c r="K27" s="52"/>
      <c r="L27" s="52"/>
    </row>
    <row r="28" spans="3:15" ht="30" customHeight="1">
      <c r="C28" s="479" t="s">
        <v>95</v>
      </c>
      <c r="D28" s="479"/>
      <c r="E28" s="479"/>
      <c r="F28" s="479"/>
      <c r="G28" s="479"/>
      <c r="H28" s="479"/>
      <c r="I28" s="480">
        <f>SUM(I14:I27)</f>
        <v>17500000</v>
      </c>
      <c r="J28" s="480"/>
      <c r="K28" s="52"/>
      <c r="L28" s="52"/>
    </row>
    <row r="29" spans="3:15" ht="30" customHeight="1">
      <c r="C29" s="479" t="s">
        <v>96</v>
      </c>
      <c r="D29" s="479"/>
      <c r="E29" s="60">
        <f>I28*0.1</f>
        <v>1750000</v>
      </c>
      <c r="F29" s="485" t="s">
        <v>94</v>
      </c>
      <c r="G29" s="485"/>
      <c r="H29" s="485"/>
      <c r="I29" s="480">
        <f>I28+E29</f>
        <v>19250000</v>
      </c>
      <c r="J29" s="480"/>
      <c r="K29" s="52"/>
      <c r="L29" s="52"/>
    </row>
    <row r="30" spans="3:15" ht="10" customHeight="1">
      <c r="C30" s="43"/>
      <c r="D30" s="40"/>
      <c r="E30" s="43"/>
      <c r="F30" s="41"/>
      <c r="G30" s="44"/>
      <c r="H30" s="45"/>
      <c r="I30" s="42"/>
      <c r="J30" s="42"/>
      <c r="K30" s="42"/>
      <c r="L30" s="42"/>
    </row>
    <row r="31" spans="3:15" ht="17">
      <c r="C31" s="17"/>
      <c r="D31" s="40"/>
      <c r="E31" s="43"/>
      <c r="F31" s="17"/>
      <c r="G31" s="17"/>
      <c r="H31" s="17"/>
      <c r="I31" s="17"/>
      <c r="J31" s="17"/>
      <c r="K31" s="17"/>
      <c r="L31" s="17"/>
    </row>
  </sheetData>
  <mergeCells count="59">
    <mergeCell ref="C3:J3"/>
    <mergeCell ref="C12:J12"/>
    <mergeCell ref="C29:D29"/>
    <mergeCell ref="F29:H29"/>
    <mergeCell ref="C5:D5"/>
    <mergeCell ref="C6:D6"/>
    <mergeCell ref="C7:D7"/>
    <mergeCell ref="C8:D8"/>
    <mergeCell ref="C9:D9"/>
    <mergeCell ref="H6:J6"/>
    <mergeCell ref="H5:J5"/>
    <mergeCell ref="H7:J7"/>
    <mergeCell ref="H8:J8"/>
    <mergeCell ref="H9:J9"/>
    <mergeCell ref="F5:G5"/>
    <mergeCell ref="F6:G6"/>
    <mergeCell ref="F7:G7"/>
    <mergeCell ref="F8:G8"/>
    <mergeCell ref="F9:G9"/>
    <mergeCell ref="I29:J29"/>
    <mergeCell ref="H24:H27"/>
    <mergeCell ref="I24:I27"/>
    <mergeCell ref="J24:J27"/>
    <mergeCell ref="F24:F27"/>
    <mergeCell ref="G24:G27"/>
    <mergeCell ref="F20:F21"/>
    <mergeCell ref="H20:H21"/>
    <mergeCell ref="G18:G19"/>
    <mergeCell ref="H18:H19"/>
    <mergeCell ref="I18:I19"/>
    <mergeCell ref="J18:J19"/>
    <mergeCell ref="J14:J17"/>
    <mergeCell ref="C20:D21"/>
    <mergeCell ref="C28:H28"/>
    <mergeCell ref="I28:J28"/>
    <mergeCell ref="C24:D27"/>
    <mergeCell ref="I22:I23"/>
    <mergeCell ref="J22:J23"/>
    <mergeCell ref="C22:D23"/>
    <mergeCell ref="G22:G23"/>
    <mergeCell ref="H22:H23"/>
    <mergeCell ref="F22:F23"/>
    <mergeCell ref="J20:J21"/>
    <mergeCell ref="I20:I21"/>
    <mergeCell ref="G20:G21"/>
    <mergeCell ref="C13:D13"/>
    <mergeCell ref="H10:J10"/>
    <mergeCell ref="C11:D11"/>
    <mergeCell ref="F10:G10"/>
    <mergeCell ref="F11:G11"/>
    <mergeCell ref="C10:D10"/>
    <mergeCell ref="H11:J11"/>
    <mergeCell ref="C18:D19"/>
    <mergeCell ref="F18:F19"/>
    <mergeCell ref="C14:D17"/>
    <mergeCell ref="I14:I17"/>
    <mergeCell ref="H14:H17"/>
    <mergeCell ref="G14:G17"/>
    <mergeCell ref="F14:F17"/>
  </mergeCells>
  <phoneticPr fontId="5" type="noConversion"/>
  <hyperlinks>
    <hyperlink ref="H10" r:id="rId1" xr:uid="{6C4F4D39-7C4F-46C7-A2F6-B1A17D64C10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2" orientation="portrait" r:id="rId2"/>
  <colBreaks count="1" manualBreakCount="1">
    <brk id="12" max="1048575" man="1"/>
  </col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CAF5-E8B6-4D61-A843-BFFA230ADAE0}">
  <dimension ref="A1:I47"/>
  <sheetViews>
    <sheetView view="pageBreakPreview" zoomScale="130" zoomScaleNormal="115" zoomScaleSheetLayoutView="130" workbookViewId="0">
      <selection activeCell="F35" sqref="F35"/>
    </sheetView>
  </sheetViews>
  <sheetFormatPr baseColWidth="10" defaultColWidth="9" defaultRowHeight="17"/>
  <cols>
    <col min="1" max="1" width="0.5" style="223" customWidth="1"/>
    <col min="2" max="2" width="8.33203125" style="223" customWidth="1"/>
    <col min="3" max="3" width="13.6640625" style="225" customWidth="1"/>
    <col min="4" max="4" width="0.6640625" style="223" customWidth="1"/>
    <col min="5" max="5" width="26.1640625" style="223" customWidth="1"/>
    <col min="6" max="6" width="7.83203125" style="223" customWidth="1"/>
    <col min="7" max="7" width="5.5" style="224" customWidth="1"/>
    <col min="8" max="8" width="12.33203125" style="223" customWidth="1"/>
    <col min="9" max="9" width="16.33203125" style="223" customWidth="1"/>
    <col min="10" max="14" width="9" style="222"/>
    <col min="15" max="15" width="0" style="222" hidden="1" customWidth="1"/>
    <col min="16" max="16384" width="9" style="222"/>
  </cols>
  <sheetData>
    <row r="1" spans="2:9" ht="13.5" customHeight="1"/>
    <row r="2" spans="2:9" ht="13.5" customHeight="1">
      <c r="B2" s="486" t="s">
        <v>287</v>
      </c>
      <c r="C2" s="486"/>
      <c r="D2" s="486"/>
      <c r="E2" s="486"/>
      <c r="F2" s="486"/>
      <c r="G2" s="486"/>
      <c r="H2" s="486"/>
      <c r="I2" s="486"/>
    </row>
    <row r="3" spans="2:9">
      <c r="B3" s="486"/>
      <c r="C3" s="486"/>
      <c r="D3" s="486"/>
      <c r="E3" s="486"/>
      <c r="F3" s="486"/>
      <c r="G3" s="486"/>
      <c r="H3" s="486"/>
      <c r="I3" s="486"/>
    </row>
    <row r="4" spans="2:9">
      <c r="B4" s="274"/>
      <c r="C4" s="487"/>
      <c r="D4" s="487"/>
      <c r="E4" s="487"/>
      <c r="F4" s="272"/>
      <c r="G4" s="270"/>
      <c r="H4" s="270"/>
      <c r="I4" s="273"/>
    </row>
    <row r="5" spans="2:9" ht="14.25" customHeight="1">
      <c r="B5" s="527" t="s">
        <v>292</v>
      </c>
      <c r="C5" s="528"/>
      <c r="D5" s="528"/>
      <c r="E5" s="528"/>
      <c r="F5" s="268"/>
      <c r="G5" s="531"/>
      <c r="H5" s="531"/>
      <c r="I5" s="531"/>
    </row>
    <row r="6" spans="2:9" ht="14.25" customHeight="1">
      <c r="B6" s="529"/>
      <c r="C6" s="528"/>
      <c r="D6" s="528"/>
      <c r="E6" s="528"/>
      <c r="F6" s="268"/>
      <c r="G6" s="532" t="s">
        <v>288</v>
      </c>
      <c r="H6" s="533"/>
      <c r="I6" s="534"/>
    </row>
    <row r="7" spans="2:9" ht="14.25" customHeight="1">
      <c r="B7" s="528"/>
      <c r="C7" s="528"/>
      <c r="D7" s="528"/>
      <c r="E7" s="528"/>
      <c r="F7" s="271"/>
      <c r="G7" s="535"/>
      <c r="H7" s="536"/>
      <c r="I7" s="537"/>
    </row>
    <row r="8" spans="2:9" ht="15" customHeight="1">
      <c r="B8" s="497" t="s">
        <v>286</v>
      </c>
      <c r="C8" s="497"/>
      <c r="D8" s="538" t="str">
        <f>TEXT(H45,"#,###")&amp;" 원 (VAT별도)"</f>
        <v>16,180,000 원 (VAT별도)</v>
      </c>
      <c r="E8" s="538"/>
      <c r="F8" s="268"/>
      <c r="G8" s="491" t="s">
        <v>289</v>
      </c>
      <c r="H8" s="492"/>
      <c r="I8" s="493"/>
    </row>
    <row r="9" spans="2:9" ht="15" customHeight="1">
      <c r="B9" s="497" t="s">
        <v>285</v>
      </c>
      <c r="C9" s="497"/>
      <c r="D9" s="539">
        <v>45222</v>
      </c>
      <c r="E9" s="539"/>
      <c r="F9" s="268"/>
      <c r="G9" s="491" t="s">
        <v>290</v>
      </c>
      <c r="H9" s="492"/>
      <c r="I9" s="493"/>
    </row>
    <row r="10" spans="2:9" ht="15" customHeight="1">
      <c r="B10" s="497" t="s">
        <v>284</v>
      </c>
      <c r="C10" s="497"/>
      <c r="D10" s="270" t="s">
        <v>293</v>
      </c>
      <c r="E10" s="270"/>
      <c r="F10" s="269"/>
      <c r="G10" s="491"/>
      <c r="H10" s="492"/>
      <c r="I10" s="493"/>
    </row>
    <row r="11" spans="2:9" ht="15" customHeight="1">
      <c r="B11" s="530"/>
      <c r="C11" s="530"/>
      <c r="D11" s="530"/>
      <c r="E11" s="530"/>
      <c r="F11" s="268"/>
      <c r="G11" s="494" t="s">
        <v>291</v>
      </c>
      <c r="H11" s="495"/>
      <c r="I11" s="496"/>
    </row>
    <row r="12" spans="2:9">
      <c r="B12" s="488" t="s">
        <v>283</v>
      </c>
      <c r="C12" s="488"/>
      <c r="D12" s="488"/>
      <c r="E12" s="488"/>
      <c r="F12" s="488"/>
      <c r="G12" s="488"/>
      <c r="H12" s="488"/>
      <c r="I12" s="488"/>
    </row>
    <row r="13" spans="2:9" ht="9.75" customHeight="1">
      <c r="B13" s="489"/>
      <c r="C13" s="490"/>
      <c r="D13" s="490"/>
      <c r="E13" s="490"/>
      <c r="F13" s="490"/>
      <c r="G13" s="490"/>
      <c r="H13" s="490"/>
      <c r="I13" s="490"/>
    </row>
    <row r="14" spans="2:9" ht="14.25" customHeight="1">
      <c r="B14" s="522"/>
      <c r="C14" s="523"/>
      <c r="D14" s="524" t="s">
        <v>282</v>
      </c>
      <c r="E14" s="525"/>
      <c r="F14" s="526"/>
      <c r="G14" s="267" t="s">
        <v>281</v>
      </c>
      <c r="H14" s="267" t="s">
        <v>280</v>
      </c>
      <c r="I14" s="266" t="s">
        <v>279</v>
      </c>
    </row>
    <row r="15" spans="2:9" ht="4.5" customHeight="1">
      <c r="B15" s="243"/>
      <c r="C15" s="242"/>
      <c r="D15" s="498"/>
      <c r="E15" s="499"/>
      <c r="F15" s="499"/>
      <c r="G15" s="499"/>
      <c r="H15" s="499"/>
      <c r="I15" s="500"/>
    </row>
    <row r="16" spans="2:9" ht="14.25" customHeight="1">
      <c r="B16" s="243"/>
      <c r="C16" s="242"/>
      <c r="D16" s="251"/>
      <c r="E16" s="265" t="s">
        <v>300</v>
      </c>
      <c r="F16" s="263"/>
      <c r="G16" s="264"/>
      <c r="H16" s="259"/>
      <c r="I16" s="246"/>
    </row>
    <row r="17" spans="2:9" ht="14.25" customHeight="1">
      <c r="B17" s="243"/>
      <c r="C17" s="242"/>
      <c r="D17" s="251"/>
      <c r="E17" s="258" t="s">
        <v>294</v>
      </c>
      <c r="F17" s="263"/>
      <c r="G17" s="262">
        <v>10</v>
      </c>
      <c r="H17" s="259">
        <v>120000</v>
      </c>
      <c r="I17" s="252">
        <f>G17*H17</f>
        <v>1200000</v>
      </c>
    </row>
    <row r="18" spans="2:9" ht="14.25" customHeight="1">
      <c r="B18" s="243"/>
      <c r="C18" s="242"/>
      <c r="D18" s="251"/>
      <c r="E18" s="258" t="s">
        <v>295</v>
      </c>
      <c r="F18" s="263"/>
      <c r="G18" s="262">
        <v>10</v>
      </c>
      <c r="H18" s="259">
        <v>150000</v>
      </c>
      <c r="I18" s="252">
        <f>G18*H18</f>
        <v>1500000</v>
      </c>
    </row>
    <row r="19" spans="2:9" ht="14.25" customHeight="1">
      <c r="B19" s="243"/>
      <c r="C19" s="242"/>
      <c r="D19" s="251"/>
      <c r="E19" s="258" t="s">
        <v>296</v>
      </c>
      <c r="F19" s="250"/>
      <c r="G19" s="262">
        <v>1</v>
      </c>
      <c r="H19" s="259">
        <v>380000</v>
      </c>
      <c r="I19" s="252">
        <f>G19*H19</f>
        <v>380000</v>
      </c>
    </row>
    <row r="20" spans="2:9" ht="14.25" customHeight="1">
      <c r="B20" s="243"/>
      <c r="C20" s="242"/>
      <c r="D20" s="251"/>
      <c r="E20" s="258"/>
      <c r="F20" s="250" t="s">
        <v>277</v>
      </c>
      <c r="G20" s="260"/>
      <c r="H20" s="259"/>
      <c r="I20" s="261">
        <f>SUM(I17:I19)</f>
        <v>3080000</v>
      </c>
    </row>
    <row r="21" spans="2:9" ht="18">
      <c r="B21" s="243"/>
      <c r="C21" s="242"/>
      <c r="D21" s="251"/>
      <c r="E21" s="257" t="s">
        <v>297</v>
      </c>
      <c r="F21" s="244"/>
      <c r="G21" s="239"/>
      <c r="H21" s="255"/>
      <c r="I21" s="246"/>
    </row>
    <row r="22" spans="2:9">
      <c r="B22" s="243"/>
      <c r="C22" s="242"/>
      <c r="D22" s="251"/>
      <c r="E22" s="258" t="s">
        <v>298</v>
      </c>
      <c r="F22" s="240"/>
      <c r="G22" s="239">
        <v>1</v>
      </c>
      <c r="H22" s="253">
        <v>1500000</v>
      </c>
      <c r="I22" s="252">
        <f>G22*H22</f>
        <v>1500000</v>
      </c>
    </row>
    <row r="23" spans="2:9" ht="14.25" customHeight="1">
      <c r="B23" s="243"/>
      <c r="C23" s="242"/>
      <c r="D23" s="251"/>
      <c r="E23" s="245" t="s">
        <v>299</v>
      </c>
      <c r="F23" s="250"/>
      <c r="G23" s="239">
        <v>1</v>
      </c>
      <c r="H23" s="253">
        <v>1500000</v>
      </c>
      <c r="I23" s="252">
        <f>G23*H23</f>
        <v>1500000</v>
      </c>
    </row>
    <row r="24" spans="2:9" ht="14.25" customHeight="1">
      <c r="B24" s="243"/>
      <c r="C24" s="242"/>
      <c r="D24" s="251"/>
      <c r="E24" s="257"/>
      <c r="F24" s="250" t="s">
        <v>277</v>
      </c>
      <c r="G24" s="239"/>
      <c r="H24" s="253"/>
      <c r="I24" s="249">
        <f>SUM(I22:I23)</f>
        <v>3000000</v>
      </c>
    </row>
    <row r="25" spans="2:9" ht="14.25" customHeight="1">
      <c r="B25" s="243"/>
      <c r="C25" s="242"/>
      <c r="D25" s="251"/>
      <c r="E25" s="265" t="s">
        <v>301</v>
      </c>
      <c r="F25" s="256"/>
      <c r="G25" s="239"/>
      <c r="H25" s="238"/>
      <c r="I25" s="252"/>
    </row>
    <row r="26" spans="2:9" ht="14.25" customHeight="1">
      <c r="B26" s="243"/>
      <c r="C26" s="242"/>
      <c r="D26" s="251" t="s">
        <v>278</v>
      </c>
      <c r="E26" s="254" t="s">
        <v>302</v>
      </c>
      <c r="F26" s="244"/>
      <c r="G26" s="239">
        <v>2</v>
      </c>
      <c r="H26" s="255">
        <v>250000</v>
      </c>
      <c r="I26" s="252">
        <f>G26*H26</f>
        <v>500000</v>
      </c>
    </row>
    <row r="27" spans="2:9" ht="14.25" customHeight="1">
      <c r="B27" s="243"/>
      <c r="C27" s="242"/>
      <c r="D27" s="251"/>
      <c r="E27" s="254" t="s">
        <v>303</v>
      </c>
      <c r="F27" s="244"/>
      <c r="G27" s="239">
        <v>10</v>
      </c>
      <c r="H27" s="255">
        <v>300000</v>
      </c>
      <c r="I27" s="252">
        <f>G27*H27</f>
        <v>3000000</v>
      </c>
    </row>
    <row r="28" spans="2:9">
      <c r="B28" s="243"/>
      <c r="C28" s="242"/>
      <c r="D28" s="251"/>
      <c r="E28" s="254"/>
      <c r="F28" s="250" t="s">
        <v>277</v>
      </c>
      <c r="G28" s="239"/>
      <c r="H28" s="255"/>
      <c r="I28" s="249">
        <f>SUM(I26:I27)</f>
        <v>3500000</v>
      </c>
    </row>
    <row r="29" spans="2:9" ht="14.25" customHeight="1">
      <c r="B29" s="243"/>
      <c r="C29" s="242"/>
      <c r="D29" s="251"/>
      <c r="E29" s="265" t="s">
        <v>304</v>
      </c>
      <c r="F29" s="244"/>
      <c r="G29" s="239"/>
      <c r="H29" s="255"/>
      <c r="I29" s="252"/>
    </row>
    <row r="30" spans="2:9" ht="14.25" customHeight="1">
      <c r="B30" s="243"/>
      <c r="C30" s="242"/>
      <c r="D30" s="251"/>
      <c r="E30" s="254" t="s">
        <v>305</v>
      </c>
      <c r="F30" s="240"/>
      <c r="G30" s="239">
        <v>1</v>
      </c>
      <c r="H30" s="253">
        <v>1000000</v>
      </c>
      <c r="I30" s="252">
        <f>G30*H30</f>
        <v>1000000</v>
      </c>
    </row>
    <row r="31" spans="2:9" ht="14.25" customHeight="1">
      <c r="B31" s="243"/>
      <c r="C31" s="242"/>
      <c r="D31" s="251"/>
      <c r="E31" s="245" t="s">
        <v>306</v>
      </c>
      <c r="F31" s="250"/>
      <c r="G31" s="239">
        <v>1</v>
      </c>
      <c r="H31" s="253">
        <v>2500000</v>
      </c>
      <c r="I31" s="252">
        <f>G31*H31</f>
        <v>2500000</v>
      </c>
    </row>
    <row r="32" spans="2:9" ht="14.25" customHeight="1">
      <c r="B32" s="243"/>
      <c r="C32" s="242"/>
      <c r="D32" s="251"/>
      <c r="E32" s="245" t="s">
        <v>307</v>
      </c>
      <c r="F32" s="250"/>
      <c r="G32" s="239">
        <v>1</v>
      </c>
      <c r="H32" s="238">
        <v>3100000</v>
      </c>
      <c r="I32" s="252">
        <f>G32*H32</f>
        <v>3100000</v>
      </c>
    </row>
    <row r="33" spans="2:9">
      <c r="B33" s="243"/>
      <c r="C33" s="242"/>
      <c r="D33" s="234"/>
      <c r="E33" s="245"/>
      <c r="F33" s="250" t="s">
        <v>277</v>
      </c>
      <c r="G33" s="239"/>
      <c r="H33" s="238"/>
      <c r="I33" s="249">
        <f>SUM(I30:I32)</f>
        <v>6600000</v>
      </c>
    </row>
    <row r="34" spans="2:9">
      <c r="B34" s="243"/>
      <c r="C34" s="242"/>
      <c r="D34" s="234"/>
      <c r="E34" s="245"/>
      <c r="F34" s="240"/>
      <c r="G34" s="239"/>
      <c r="H34" s="238"/>
      <c r="I34" s="237"/>
    </row>
    <row r="35" spans="2:9" ht="14.25" customHeight="1">
      <c r="B35" s="243"/>
      <c r="C35" s="242"/>
      <c r="D35" s="234"/>
      <c r="E35" s="245"/>
      <c r="F35" s="240"/>
      <c r="G35" s="239"/>
      <c r="H35" s="238"/>
      <c r="I35" s="237"/>
    </row>
    <row r="36" spans="2:9" ht="14.25" customHeight="1">
      <c r="B36" s="243"/>
      <c r="C36" s="242"/>
      <c r="D36" s="234"/>
      <c r="E36" s="245"/>
      <c r="F36" s="240"/>
      <c r="G36" s="239"/>
      <c r="H36" s="238"/>
      <c r="I36" s="237"/>
    </row>
    <row r="37" spans="2:9" ht="14.25" customHeight="1">
      <c r="B37" s="243"/>
      <c r="C37" s="242"/>
      <c r="D37" s="248"/>
      <c r="E37" s="245"/>
      <c r="F37" s="240"/>
      <c r="G37" s="239"/>
      <c r="H37" s="238"/>
      <c r="I37" s="237"/>
    </row>
    <row r="38" spans="2:9" ht="14.25" customHeight="1">
      <c r="B38" s="243"/>
      <c r="C38" s="242"/>
      <c r="D38" s="248"/>
      <c r="E38" s="245"/>
      <c r="F38" s="240"/>
      <c r="G38" s="239"/>
      <c r="H38" s="238"/>
      <c r="I38" s="237"/>
    </row>
    <row r="39" spans="2:9" ht="18">
      <c r="B39" s="243"/>
      <c r="C39" s="242"/>
      <c r="D39" s="234"/>
      <c r="E39" s="241"/>
      <c r="F39" s="244"/>
      <c r="G39" s="239"/>
      <c r="H39" s="238"/>
      <c r="I39" s="237"/>
    </row>
    <row r="40" spans="2:9" ht="18">
      <c r="B40" s="243"/>
      <c r="C40" s="242"/>
      <c r="D40" s="248"/>
      <c r="E40" s="241"/>
      <c r="F40" s="244"/>
      <c r="G40" s="239"/>
      <c r="H40" s="238"/>
      <c r="I40" s="237"/>
    </row>
    <row r="41" spans="2:9" ht="18">
      <c r="B41" s="243"/>
      <c r="C41" s="242"/>
      <c r="D41" s="247"/>
      <c r="E41" s="245"/>
      <c r="F41" s="244"/>
      <c r="G41" s="239"/>
      <c r="H41" s="238"/>
      <c r="I41" s="246"/>
    </row>
    <row r="42" spans="2:9" ht="18">
      <c r="B42" s="243"/>
      <c r="C42" s="242"/>
      <c r="D42" s="234"/>
      <c r="E42" s="245"/>
      <c r="F42" s="244"/>
      <c r="G42" s="239"/>
      <c r="H42" s="238"/>
      <c r="I42" s="237"/>
    </row>
    <row r="43" spans="2:9" ht="14.25" customHeight="1">
      <c r="B43" s="243"/>
      <c r="C43" s="242"/>
      <c r="D43" s="234"/>
      <c r="E43" s="241"/>
      <c r="F43" s="240"/>
      <c r="G43" s="239"/>
      <c r="H43" s="238"/>
      <c r="I43" s="237"/>
    </row>
    <row r="44" spans="2:9" ht="3" customHeight="1">
      <c r="B44" s="236"/>
      <c r="C44" s="235"/>
      <c r="D44" s="234"/>
      <c r="E44" s="233"/>
      <c r="F44" s="232"/>
      <c r="G44" s="231"/>
      <c r="H44" s="230"/>
      <c r="I44" s="229">
        <f>SUM(I16:I43)</f>
        <v>32360000</v>
      </c>
    </row>
    <row r="45" spans="2:9">
      <c r="B45" s="501" t="s">
        <v>276</v>
      </c>
      <c r="C45" s="502"/>
      <c r="D45" s="507" t="s">
        <v>275</v>
      </c>
      <c r="E45" s="508"/>
      <c r="F45" s="509"/>
      <c r="G45" s="228"/>
      <c r="H45" s="510">
        <f>SUM(I20,I24,I28,I33)</f>
        <v>16180000</v>
      </c>
      <c r="I45" s="511"/>
    </row>
    <row r="46" spans="2:9">
      <c r="B46" s="503"/>
      <c r="C46" s="504"/>
      <c r="D46" s="512" t="s">
        <v>274</v>
      </c>
      <c r="E46" s="513"/>
      <c r="F46" s="514"/>
      <c r="G46" s="227"/>
      <c r="H46" s="515">
        <f>H45*0.1</f>
        <v>1618000</v>
      </c>
      <c r="I46" s="516"/>
    </row>
    <row r="47" spans="2:9" ht="18">
      <c r="B47" s="505"/>
      <c r="C47" s="506"/>
      <c r="D47" s="517"/>
      <c r="E47" s="518"/>
      <c r="F47" s="519"/>
      <c r="G47" s="226"/>
      <c r="H47" s="520"/>
      <c r="I47" s="521"/>
    </row>
  </sheetData>
  <mergeCells count="27">
    <mergeCell ref="B14:C14"/>
    <mergeCell ref="D14:F14"/>
    <mergeCell ref="B5:E7"/>
    <mergeCell ref="B11:E11"/>
    <mergeCell ref="G5:I5"/>
    <mergeCell ref="G6:I7"/>
    <mergeCell ref="D8:E8"/>
    <mergeCell ref="D9:E9"/>
    <mergeCell ref="G8:I8"/>
    <mergeCell ref="D15:I15"/>
    <mergeCell ref="B45:C47"/>
    <mergeCell ref="D45:F45"/>
    <mergeCell ref="H45:I45"/>
    <mergeCell ref="D46:F46"/>
    <mergeCell ref="H46:I46"/>
    <mergeCell ref="D47:F47"/>
    <mergeCell ref="H47:I47"/>
    <mergeCell ref="B2:I3"/>
    <mergeCell ref="C4:E4"/>
    <mergeCell ref="B12:I12"/>
    <mergeCell ref="B13:I13"/>
    <mergeCell ref="G10:I10"/>
    <mergeCell ref="G11:I11"/>
    <mergeCell ref="B8:C8"/>
    <mergeCell ref="B9:C9"/>
    <mergeCell ref="B10:C10"/>
    <mergeCell ref="G9:I9"/>
  </mergeCells>
  <phoneticPr fontId="5" type="noConversion"/>
  <printOptions horizontalCentered="1" verticalCentered="1"/>
  <pageMargins left="0.19685039370078741" right="0.19685039370078741" top="0.39370078740157483" bottom="0.39370078740157483" header="0.51181102362204722" footer="0.51181102362204722"/>
  <pageSetup paperSize="9" scale="97" firstPageNumber="0" orientation="portrait" r:id="rId1"/>
  <headerFooter alignWithMargins="0"/>
  <rowBreaks count="1" manualBreakCount="1">
    <brk id="4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9123-F947-4E2F-914D-5496001DEF20}">
  <sheetPr>
    <pageSetUpPr fitToPage="1"/>
  </sheetPr>
  <dimension ref="A1:N52"/>
  <sheetViews>
    <sheetView view="pageBreakPreview" zoomScale="85" zoomScaleNormal="100" zoomScaleSheetLayoutView="85" workbookViewId="0">
      <selection activeCell="H14" sqref="H14"/>
    </sheetView>
  </sheetViews>
  <sheetFormatPr baseColWidth="10" defaultColWidth="10" defaultRowHeight="17"/>
  <cols>
    <col min="1" max="1" width="3.5" style="143" customWidth="1"/>
    <col min="2" max="2" width="16.6640625" style="143" customWidth="1"/>
    <col min="3" max="4" width="36.6640625" style="143" customWidth="1"/>
    <col min="5" max="5" width="25.83203125" style="143" customWidth="1"/>
    <col min="6" max="6" width="4.33203125" style="143" customWidth="1"/>
    <col min="7" max="7" width="10" style="143"/>
    <col min="8" max="8" width="10.83203125" style="143" bestFit="1" customWidth="1"/>
    <col min="9" max="9" width="10" style="143"/>
    <col min="10" max="10" width="10" style="143" customWidth="1"/>
    <col min="11" max="16384" width="10" style="143"/>
  </cols>
  <sheetData>
    <row r="1" spans="1:11" ht="4.5" customHeight="1"/>
    <row r="2" spans="1:11" ht="15" customHeight="1"/>
    <row r="3" spans="1:11" s="144" customFormat="1" ht="36" customHeight="1">
      <c r="B3" s="540"/>
      <c r="C3" s="541"/>
      <c r="D3" s="541"/>
      <c r="E3" s="541"/>
    </row>
    <row r="4" spans="1:11" s="144" customFormat="1" ht="21.75" customHeight="1">
      <c r="B4" s="542"/>
      <c r="C4" s="542"/>
      <c r="D4" s="542"/>
      <c r="E4" s="542"/>
    </row>
    <row r="5" spans="1:11" s="144" customFormat="1" ht="21.75" customHeight="1">
      <c r="B5" s="545" t="s">
        <v>247</v>
      </c>
      <c r="C5" s="545"/>
      <c r="D5" s="545"/>
      <c r="E5" s="545"/>
    </row>
    <row r="6" spans="1:11" s="144" customFormat="1" ht="16.5" customHeight="1" thickBot="1">
      <c r="B6" s="546" t="s">
        <v>246</v>
      </c>
      <c r="C6" s="546"/>
      <c r="D6" s="546"/>
      <c r="E6" s="546"/>
      <c r="F6" s="193"/>
      <c r="G6" s="193"/>
      <c r="H6" s="193"/>
    </row>
    <row r="7" spans="1:11" s="144" customFormat="1" ht="22" customHeight="1" thickTop="1">
      <c r="B7" s="190" t="s">
        <v>245</v>
      </c>
      <c r="C7" s="189"/>
      <c r="D7" s="192"/>
      <c r="E7" s="191"/>
    </row>
    <row r="8" spans="1:11" s="144" customFormat="1" ht="22" customHeight="1">
      <c r="B8" s="190" t="s">
        <v>244</v>
      </c>
      <c r="C8" s="189"/>
      <c r="D8" s="189"/>
      <c r="E8" s="189"/>
      <c r="H8" s="144" t="s">
        <v>243</v>
      </c>
    </row>
    <row r="9" spans="1:11" s="144" customFormat="1" ht="22" customHeight="1">
      <c r="B9" s="190" t="s">
        <v>242</v>
      </c>
      <c r="C9" s="189"/>
      <c r="D9" s="189"/>
      <c r="E9" s="189"/>
    </row>
    <row r="10" spans="1:11" ht="18" thickBot="1">
      <c r="B10" s="188" t="s">
        <v>241</v>
      </c>
      <c r="C10" s="187"/>
      <c r="D10" s="187"/>
      <c r="E10" s="187"/>
    </row>
    <row r="11" spans="1:11" ht="15" customHeight="1" thickTop="1">
      <c r="B11" s="186"/>
      <c r="C11" s="186"/>
      <c r="D11" s="186"/>
      <c r="E11" s="186"/>
    </row>
    <row r="12" spans="1:11" ht="20" customHeight="1">
      <c r="A12" s="185"/>
      <c r="B12" s="184" t="s">
        <v>233</v>
      </c>
      <c r="C12" s="547" t="s">
        <v>240</v>
      </c>
      <c r="D12" s="548"/>
      <c r="E12" s="560"/>
    </row>
    <row r="13" spans="1:11" ht="20" customHeight="1">
      <c r="A13" s="185"/>
      <c r="B13" s="184" t="s">
        <v>231</v>
      </c>
      <c r="C13" s="547" t="s">
        <v>240</v>
      </c>
      <c r="D13" s="548"/>
      <c r="E13" s="548"/>
      <c r="F13" s="182"/>
    </row>
    <row r="14" spans="1:11" ht="20" customHeight="1">
      <c r="B14" s="183" t="s">
        <v>239</v>
      </c>
      <c r="C14" s="547" t="s">
        <v>238</v>
      </c>
      <c r="D14" s="548"/>
      <c r="E14" s="548"/>
      <c r="F14" s="182"/>
    </row>
    <row r="15" spans="1:11" ht="20" customHeight="1">
      <c r="B15" s="183" t="s">
        <v>228</v>
      </c>
      <c r="C15" s="547" t="s">
        <v>238</v>
      </c>
      <c r="D15" s="548"/>
      <c r="E15" s="548"/>
      <c r="F15" s="182"/>
    </row>
    <row r="16" spans="1:11" s="144" customFormat="1" ht="9.75" customHeight="1" thickBot="1">
      <c r="B16" s="181"/>
      <c r="C16" s="181"/>
      <c r="D16" s="181"/>
      <c r="E16" s="181"/>
      <c r="F16" s="154"/>
      <c r="G16" s="154"/>
      <c r="K16" s="143"/>
    </row>
    <row r="17" spans="1:14" s="177" customFormat="1" ht="35" customHeight="1">
      <c r="A17" s="180"/>
      <c r="B17" s="178" t="s">
        <v>237</v>
      </c>
      <c r="C17" s="179" t="s">
        <v>236</v>
      </c>
      <c r="D17" s="178" t="s">
        <v>235</v>
      </c>
      <c r="E17" s="178" t="s">
        <v>234</v>
      </c>
    </row>
    <row r="18" spans="1:14" s="144" customFormat="1" ht="55" customHeight="1">
      <c r="B18" s="549" t="s">
        <v>233</v>
      </c>
      <c r="C18" s="171">
        <v>149100</v>
      </c>
      <c r="D18" s="170">
        <v>2500000</v>
      </c>
      <c r="E18" s="169">
        <f>D18*0.1</f>
        <v>250000</v>
      </c>
      <c r="F18" s="175"/>
    </row>
    <row r="19" spans="1:14" s="144" customFormat="1" ht="18" customHeight="1">
      <c r="B19" s="550"/>
      <c r="C19" s="168" t="s">
        <v>232</v>
      </c>
      <c r="D19" s="174"/>
      <c r="E19" s="173"/>
      <c r="F19" s="175"/>
    </row>
    <row r="20" spans="1:14" s="144" customFormat="1" ht="55" customHeight="1">
      <c r="B20" s="549" t="s">
        <v>231</v>
      </c>
      <c r="C20" s="171">
        <v>200000</v>
      </c>
      <c r="D20" s="170">
        <v>500000</v>
      </c>
      <c r="E20" s="169">
        <v>25000</v>
      </c>
      <c r="F20" s="175"/>
      <c r="N20" s="176"/>
    </row>
    <row r="21" spans="1:14" s="144" customFormat="1" ht="18" customHeight="1">
      <c r="B21" s="550"/>
      <c r="C21" s="168"/>
      <c r="D21" s="174"/>
      <c r="E21" s="173"/>
      <c r="F21" s="175"/>
    </row>
    <row r="22" spans="1:14" s="144" customFormat="1" ht="55" customHeight="1">
      <c r="B22" s="549" t="s">
        <v>230</v>
      </c>
      <c r="C22" s="171">
        <v>62000</v>
      </c>
      <c r="D22" s="170">
        <v>250000</v>
      </c>
      <c r="E22" s="169">
        <v>20000</v>
      </c>
      <c r="F22" s="172"/>
    </row>
    <row r="23" spans="1:14" s="144" customFormat="1" ht="18" customHeight="1">
      <c r="B23" s="550"/>
      <c r="C23" s="168" t="s">
        <v>229</v>
      </c>
      <c r="D23" s="174"/>
      <c r="E23" s="173"/>
      <c r="F23" s="172"/>
    </row>
    <row r="24" spans="1:14" s="144" customFormat="1" ht="55" customHeight="1">
      <c r="B24" s="549" t="s">
        <v>228</v>
      </c>
      <c r="C24" s="171">
        <v>160000</v>
      </c>
      <c r="D24" s="170">
        <v>250000</v>
      </c>
      <c r="E24" s="169">
        <f>D24*0.1</f>
        <v>25000</v>
      </c>
      <c r="F24" s="160"/>
      <c r="K24" s="143"/>
    </row>
    <row r="25" spans="1:14" s="144" customFormat="1" ht="18" customHeight="1">
      <c r="B25" s="550"/>
      <c r="C25" s="168"/>
      <c r="D25" s="167"/>
      <c r="E25" s="166"/>
      <c r="F25" s="160"/>
      <c r="K25" s="143"/>
    </row>
    <row r="26" spans="1:14" s="144" customFormat="1" ht="32.25" customHeight="1" thickBot="1">
      <c r="B26" s="165" t="s">
        <v>227</v>
      </c>
      <c r="C26" s="164">
        <f>SUM(C18:C24)</f>
        <v>571100</v>
      </c>
      <c r="D26" s="163">
        <f>SUM(D18:D24)</f>
        <v>3500000</v>
      </c>
      <c r="E26" s="162">
        <f>SUM(E18:E24)</f>
        <v>320000</v>
      </c>
      <c r="F26" s="160"/>
      <c r="K26" s="143"/>
    </row>
    <row r="27" spans="1:14" s="144" customFormat="1" ht="36.75" customHeight="1" thickTop="1" thickBot="1">
      <c r="B27" s="161" t="s">
        <v>226</v>
      </c>
      <c r="C27" s="552">
        <f>SUM(C26:E26)</f>
        <v>4391100</v>
      </c>
      <c r="D27" s="553"/>
      <c r="E27" s="553"/>
      <c r="F27" s="160"/>
      <c r="K27" s="143"/>
    </row>
    <row r="28" spans="1:14" s="144" customFormat="1" ht="9" customHeight="1">
      <c r="B28" s="159"/>
      <c r="C28" s="158"/>
      <c r="D28" s="158"/>
      <c r="E28" s="157"/>
      <c r="K28" s="143"/>
    </row>
    <row r="29" spans="1:14" s="144" customFormat="1" ht="69" customHeight="1">
      <c r="B29" s="543" t="s">
        <v>225</v>
      </c>
      <c r="C29" s="543"/>
      <c r="D29" s="543"/>
      <c r="E29" s="543"/>
      <c r="F29" s="155"/>
      <c r="G29" s="155"/>
      <c r="K29" s="143"/>
    </row>
    <row r="30" spans="1:14" s="144" customFormat="1" ht="14.25" customHeight="1">
      <c r="B30" s="156"/>
      <c r="C30" s="156"/>
      <c r="D30" s="156"/>
      <c r="E30" s="156"/>
      <c r="F30" s="155"/>
      <c r="G30" s="155"/>
      <c r="K30" s="143"/>
    </row>
    <row r="31" spans="1:14" s="144" customFormat="1" ht="21.75" customHeight="1" thickBot="1">
      <c r="B31" s="544" t="s">
        <v>224</v>
      </c>
      <c r="C31" s="544"/>
      <c r="D31" s="544"/>
      <c r="E31" s="544"/>
      <c r="F31" s="154"/>
      <c r="G31" s="154"/>
      <c r="K31" s="143"/>
    </row>
    <row r="32" spans="1:14" s="144" customFormat="1" ht="23.25" customHeight="1">
      <c r="B32" s="153" t="s">
        <v>223</v>
      </c>
      <c r="C32" s="152" t="s">
        <v>222</v>
      </c>
      <c r="D32" s="554" t="s">
        <v>221</v>
      </c>
      <c r="E32" s="555"/>
      <c r="J32" s="143"/>
    </row>
    <row r="33" spans="1:11" s="144" customFormat="1" ht="23.25" customHeight="1">
      <c r="B33" s="151" t="s">
        <v>220</v>
      </c>
      <c r="C33" s="150" t="s">
        <v>219</v>
      </c>
      <c r="D33" s="556"/>
      <c r="E33" s="557"/>
      <c r="J33" s="143"/>
    </row>
    <row r="34" spans="1:11" s="144" customFormat="1" ht="23.25" customHeight="1" thickBot="1">
      <c r="B34" s="149" t="s">
        <v>218</v>
      </c>
      <c r="C34" s="148" t="s">
        <v>217</v>
      </c>
      <c r="D34" s="558"/>
      <c r="E34" s="559"/>
      <c r="J34" s="143"/>
    </row>
    <row r="35" spans="1:11" s="144" customFormat="1" ht="22.5" customHeight="1">
      <c r="B35" s="551" t="s">
        <v>216</v>
      </c>
      <c r="C35" s="551"/>
      <c r="D35" s="551"/>
      <c r="E35" s="551"/>
      <c r="F35" s="147"/>
      <c r="G35" s="147"/>
      <c r="K35" s="143"/>
    </row>
    <row r="36" spans="1:11" s="144" customFormat="1" ht="17.25" customHeight="1">
      <c r="B36" s="143"/>
      <c r="C36" s="143"/>
      <c r="D36" s="143"/>
      <c r="E36" s="143"/>
    </row>
    <row r="38" spans="1:11" s="144" customFormat="1" ht="44.25" customHeight="1">
      <c r="B38" s="143"/>
      <c r="C38" s="143"/>
      <c r="D38" s="143"/>
      <c r="E38" s="143"/>
    </row>
    <row r="39" spans="1:11" s="144" customFormat="1" ht="44.25" customHeight="1">
      <c r="B39" s="143"/>
      <c r="C39" s="143"/>
      <c r="D39" s="143"/>
      <c r="E39" s="143"/>
    </row>
    <row r="40" spans="1:11" ht="35" customHeight="1">
      <c r="A40" s="144"/>
    </row>
    <row r="41" spans="1:11" ht="35" customHeight="1">
      <c r="A41" s="144"/>
    </row>
    <row r="42" spans="1:11" ht="15" customHeight="1">
      <c r="A42" s="144"/>
    </row>
    <row r="43" spans="1:11" s="145" customFormat="1" ht="20" customHeight="1">
      <c r="A43" s="146"/>
      <c r="B43" s="143"/>
      <c r="C43" s="143"/>
      <c r="D43" s="143"/>
      <c r="E43" s="143"/>
    </row>
    <row r="44" spans="1:11" s="145" customFormat="1" ht="20" customHeight="1">
      <c r="A44" s="146"/>
      <c r="B44" s="143"/>
      <c r="C44" s="143"/>
      <c r="D44" s="143"/>
      <c r="E44" s="143"/>
    </row>
    <row r="45" spans="1:11" s="145" customFormat="1" ht="20" customHeight="1">
      <c r="A45" s="146"/>
      <c r="B45" s="143"/>
      <c r="C45" s="143"/>
      <c r="D45" s="143"/>
      <c r="E45" s="143"/>
    </row>
    <row r="46" spans="1:11" ht="19.5" customHeight="1">
      <c r="A46" s="144"/>
    </row>
    <row r="47" spans="1:11" ht="20" customHeight="1">
      <c r="A47" s="144"/>
    </row>
    <row r="48" spans="1:11">
      <c r="A48" s="144"/>
    </row>
    <row r="49" spans="1:1" ht="13.5" customHeight="1">
      <c r="A49" s="144"/>
    </row>
    <row r="50" spans="1:1" ht="13.5" customHeight="1">
      <c r="A50" s="144"/>
    </row>
    <row r="51" spans="1:1" ht="13.5" customHeight="1">
      <c r="A51" s="144"/>
    </row>
    <row r="52" spans="1:1" ht="13.5" customHeight="1">
      <c r="A52" s="144"/>
    </row>
  </sheetData>
  <mergeCells count="16">
    <mergeCell ref="B35:E35"/>
    <mergeCell ref="C27:E27"/>
    <mergeCell ref="D32:E34"/>
    <mergeCell ref="C14:E14"/>
    <mergeCell ref="C12:E12"/>
    <mergeCell ref="C15:E15"/>
    <mergeCell ref="B18:B19"/>
    <mergeCell ref="B20:B21"/>
    <mergeCell ref="B3:E4"/>
    <mergeCell ref="B29:E29"/>
    <mergeCell ref="B31:E31"/>
    <mergeCell ref="B5:E5"/>
    <mergeCell ref="B6:E6"/>
    <mergeCell ref="C13:E13"/>
    <mergeCell ref="B22:B23"/>
    <mergeCell ref="B24:B25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5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3D97-0E4F-43ED-A053-B394B4D34106}">
  <sheetPr>
    <pageSetUpPr fitToPage="1"/>
  </sheetPr>
  <dimension ref="B1:K121"/>
  <sheetViews>
    <sheetView view="pageBreakPreview" topLeftCell="A9" zoomScale="85" zoomScaleNormal="100" zoomScaleSheetLayoutView="85" workbookViewId="0">
      <selection activeCell="L15" sqref="L15"/>
    </sheetView>
  </sheetViews>
  <sheetFormatPr baseColWidth="10" defaultColWidth="9" defaultRowHeight="14"/>
  <cols>
    <col min="1" max="1" width="4.1640625" style="194" customWidth="1"/>
    <col min="2" max="2" width="15.1640625" style="194" customWidth="1"/>
    <col min="3" max="3" width="10.6640625" style="194" customWidth="1"/>
    <col min="4" max="4" width="12.33203125" style="194" customWidth="1"/>
    <col min="5" max="5" width="7.33203125" style="194" customWidth="1"/>
    <col min="6" max="6" width="17.6640625" style="194" customWidth="1"/>
    <col min="7" max="7" width="20.1640625" style="194" customWidth="1"/>
    <col min="8" max="8" width="14.33203125" style="194" customWidth="1"/>
    <col min="9" max="9" width="3.6640625" style="194" customWidth="1"/>
    <col min="10" max="10" width="9" style="194"/>
    <col min="11" max="11" width="10.6640625" style="194" bestFit="1" customWidth="1"/>
    <col min="12" max="16384" width="9" style="194"/>
  </cols>
  <sheetData>
    <row r="1" spans="2:11" ht="4.5" customHeight="1"/>
    <row r="2" spans="2:11" s="195" customFormat="1" ht="36" customHeight="1">
      <c r="B2" s="579" t="s">
        <v>273</v>
      </c>
      <c r="C2" s="579"/>
      <c r="D2" s="580"/>
      <c r="E2" s="580"/>
      <c r="F2" s="580"/>
      <c r="G2" s="580"/>
      <c r="H2" s="580"/>
    </row>
    <row r="3" spans="2:11" ht="16.5" customHeight="1">
      <c r="B3" s="581"/>
      <c r="C3" s="581"/>
      <c r="D3" s="581"/>
      <c r="E3" s="581"/>
      <c r="F3" s="581"/>
      <c r="G3" s="581"/>
      <c r="H3" s="581"/>
    </row>
    <row r="4" spans="2:11" ht="16.5" customHeight="1" thickBot="1">
      <c r="B4" s="582" t="s">
        <v>272</v>
      </c>
      <c r="C4" s="582"/>
      <c r="D4" s="582"/>
      <c r="E4" s="582"/>
      <c r="F4" s="582"/>
      <c r="G4" s="582"/>
      <c r="H4" s="582"/>
    </row>
    <row r="5" spans="2:11" s="200" customFormat="1" ht="22" customHeight="1" thickTop="1">
      <c r="B5" s="221"/>
      <c r="C5" s="221"/>
      <c r="D5" s="220"/>
      <c r="E5" s="220"/>
      <c r="F5" s="220"/>
      <c r="G5" s="219"/>
      <c r="H5" s="218">
        <f ca="1">TODAY()</f>
        <v>45916</v>
      </c>
    </row>
    <row r="6" spans="2:11" s="200" customFormat="1" ht="22" customHeight="1">
      <c r="B6" s="207" t="s">
        <v>271</v>
      </c>
      <c r="C6" s="207"/>
    </row>
    <row r="7" spans="2:11" s="200" customFormat="1" ht="22" customHeight="1">
      <c r="B7" s="217" t="s">
        <v>270</v>
      </c>
      <c r="C7" s="217"/>
    </row>
    <row r="8" spans="2:11" s="200" customFormat="1" ht="8.25" customHeight="1" thickBot="1">
      <c r="B8" s="216"/>
      <c r="C8" s="216"/>
      <c r="D8" s="216"/>
      <c r="E8" s="216"/>
      <c r="F8" s="216"/>
      <c r="G8" s="216"/>
      <c r="H8" s="216"/>
    </row>
    <row r="9" spans="2:11" s="200" customFormat="1" ht="8.25" customHeight="1" thickTop="1"/>
    <row r="10" spans="2:11" s="200" customFormat="1" ht="22" customHeight="1">
      <c r="B10" s="200" t="s">
        <v>269</v>
      </c>
    </row>
    <row r="11" spans="2:11" s="200" customFormat="1" ht="22" customHeight="1">
      <c r="B11" s="200" t="s">
        <v>268</v>
      </c>
    </row>
    <row r="12" spans="2:11" s="200" customFormat="1" ht="22" customHeight="1"/>
    <row r="13" spans="2:11" s="200" customFormat="1" ht="10" customHeight="1" thickBot="1"/>
    <row r="14" spans="2:11" s="207" customFormat="1" ht="35" customHeight="1" thickBot="1">
      <c r="B14" s="215" t="s">
        <v>267</v>
      </c>
      <c r="C14" s="583" t="s">
        <v>266</v>
      </c>
      <c r="D14" s="584"/>
      <c r="E14" s="585"/>
      <c r="F14" s="214" t="s">
        <v>265</v>
      </c>
      <c r="G14" s="214" t="s">
        <v>264</v>
      </c>
      <c r="H14" s="213" t="s">
        <v>263</v>
      </c>
    </row>
    <row r="15" spans="2:11" s="207" customFormat="1" ht="43.5" customHeight="1">
      <c r="B15" s="586" t="s">
        <v>262</v>
      </c>
      <c r="C15" s="571" t="s">
        <v>261</v>
      </c>
      <c r="D15" s="572"/>
      <c r="E15" s="573"/>
      <c r="F15" s="577" t="s">
        <v>260</v>
      </c>
      <c r="G15" s="211" t="s">
        <v>235</v>
      </c>
      <c r="H15" s="212">
        <v>25000000</v>
      </c>
      <c r="K15" s="207" t="s">
        <v>243</v>
      </c>
    </row>
    <row r="16" spans="2:11" s="207" customFormat="1" ht="36" customHeight="1">
      <c r="B16" s="587"/>
      <c r="C16" s="574"/>
      <c r="D16" s="575"/>
      <c r="E16" s="576"/>
      <c r="F16" s="578"/>
      <c r="G16" s="210" t="s">
        <v>236</v>
      </c>
      <c r="H16" s="209" t="s">
        <v>259</v>
      </c>
    </row>
    <row r="17" spans="2:8" s="207" customFormat="1" ht="44" customHeight="1" thickBot="1">
      <c r="B17" s="588" t="s">
        <v>258</v>
      </c>
      <c r="C17" s="589"/>
      <c r="D17" s="589"/>
      <c r="E17" s="589"/>
      <c r="F17" s="589"/>
      <c r="G17" s="589"/>
      <c r="H17" s="208">
        <v>2500000</v>
      </c>
    </row>
    <row r="18" spans="2:8" s="205" customFormat="1" ht="44" customHeight="1" thickTop="1" thickBot="1">
      <c r="B18" s="590" t="s">
        <v>257</v>
      </c>
      <c r="C18" s="591"/>
      <c r="D18" s="591"/>
      <c r="E18" s="591"/>
      <c r="F18" s="591"/>
      <c r="G18" s="591"/>
      <c r="H18" s="206">
        <v>27500000</v>
      </c>
    </row>
    <row r="19" spans="2:8" s="200" customFormat="1" ht="38.25" customHeight="1">
      <c r="B19" s="569"/>
      <c r="C19" s="570"/>
      <c r="D19" s="570"/>
      <c r="E19" s="570"/>
      <c r="F19" s="570"/>
      <c r="G19" s="570"/>
      <c r="H19" s="570"/>
    </row>
    <row r="20" spans="2:8" s="200" customFormat="1" ht="22" customHeight="1" thickBot="1">
      <c r="B20" s="565" t="s">
        <v>256</v>
      </c>
      <c r="C20" s="565"/>
      <c r="D20" s="565"/>
      <c r="E20" s="565"/>
      <c r="F20" s="565"/>
      <c r="G20" s="565"/>
      <c r="H20" s="565"/>
    </row>
    <row r="21" spans="2:8" s="203" customFormat="1" ht="22" customHeight="1">
      <c r="B21" s="563" t="s">
        <v>255</v>
      </c>
      <c r="C21" s="563"/>
      <c r="D21" s="562"/>
      <c r="E21" s="562" t="s">
        <v>254</v>
      </c>
      <c r="F21" s="562"/>
      <c r="G21" s="562"/>
      <c r="H21" s="204" t="s">
        <v>253</v>
      </c>
    </row>
    <row r="22" spans="2:8" ht="22" customHeight="1" thickBot="1">
      <c r="B22" s="568" t="s">
        <v>252</v>
      </c>
      <c r="C22" s="568"/>
      <c r="D22" s="566"/>
      <c r="E22" s="566" t="s">
        <v>248</v>
      </c>
      <c r="F22" s="566"/>
      <c r="G22" s="566"/>
      <c r="H22" s="202" t="s">
        <v>251</v>
      </c>
    </row>
    <row r="23" spans="2:8" s="201" customFormat="1" ht="22" customHeight="1">
      <c r="B23" s="567" t="s">
        <v>250</v>
      </c>
      <c r="C23" s="567"/>
      <c r="D23" s="567"/>
      <c r="E23" s="567"/>
      <c r="F23" s="567"/>
      <c r="G23" s="567"/>
      <c r="H23" s="567"/>
    </row>
    <row r="24" spans="2:8" s="200" customFormat="1" ht="10" customHeight="1">
      <c r="B24" s="565"/>
      <c r="C24" s="565"/>
      <c r="D24" s="565"/>
      <c r="E24" s="565"/>
      <c r="F24" s="565"/>
      <c r="G24" s="565"/>
      <c r="H24" s="565"/>
    </row>
    <row r="25" spans="2:8" ht="22" customHeight="1">
      <c r="B25" s="200" t="s">
        <v>249</v>
      </c>
      <c r="C25" s="200"/>
      <c r="D25" s="199"/>
      <c r="E25" s="199"/>
      <c r="F25" s="199"/>
      <c r="G25" s="199"/>
      <c r="H25" s="199"/>
    </row>
    <row r="26" spans="2:8" ht="77.25" customHeight="1" thickBot="1">
      <c r="B26" s="564" t="s">
        <v>248</v>
      </c>
      <c r="C26" s="564"/>
      <c r="D26" s="564"/>
      <c r="E26" s="564"/>
      <c r="F26" s="564"/>
      <c r="G26" s="564"/>
      <c r="H26" s="564"/>
    </row>
    <row r="27" spans="2:8" ht="20" customHeight="1">
      <c r="B27" s="198"/>
      <c r="C27" s="198"/>
      <c r="D27" s="197"/>
      <c r="E27" s="197"/>
      <c r="F27" s="197"/>
      <c r="G27" s="197"/>
      <c r="H27" s="197"/>
    </row>
    <row r="28" spans="2:8" s="196" customFormat="1" ht="20" customHeight="1">
      <c r="B28" s="561"/>
      <c r="C28" s="561"/>
      <c r="D28" s="561"/>
      <c r="E28" s="561"/>
      <c r="F28" s="561"/>
      <c r="G28" s="561"/>
      <c r="H28" s="561"/>
    </row>
    <row r="29" spans="2:8" ht="19.5" customHeight="1">
      <c r="B29" s="195" t="s">
        <v>243</v>
      </c>
      <c r="C29" s="195"/>
      <c r="D29" s="195"/>
      <c r="E29" s="195"/>
      <c r="F29" s="195"/>
      <c r="G29" s="195"/>
      <c r="H29" s="195"/>
    </row>
    <row r="30" spans="2:8" ht="20" customHeight="1">
      <c r="B30" s="195"/>
      <c r="C30" s="195"/>
      <c r="D30" s="195"/>
      <c r="E30" s="195"/>
      <c r="F30" s="195"/>
      <c r="G30" s="195"/>
      <c r="H30" s="195"/>
    </row>
    <row r="31" spans="2:8">
      <c r="B31" s="195"/>
      <c r="C31" s="195"/>
      <c r="D31" s="195"/>
      <c r="E31" s="195"/>
      <c r="F31" s="195"/>
      <c r="G31" s="195"/>
      <c r="H31" s="195"/>
    </row>
    <row r="32" spans="2:8">
      <c r="B32" s="195"/>
      <c r="C32" s="195"/>
      <c r="D32" s="195"/>
      <c r="E32" s="195"/>
      <c r="F32" s="195"/>
      <c r="G32" s="195"/>
      <c r="H32" s="195"/>
    </row>
    <row r="33" spans="2:8">
      <c r="B33" s="195"/>
      <c r="C33" s="195"/>
      <c r="D33" s="195"/>
      <c r="E33" s="195"/>
      <c r="F33" s="195"/>
      <c r="G33" s="195"/>
      <c r="H33" s="195"/>
    </row>
    <row r="34" spans="2:8">
      <c r="B34" s="195"/>
      <c r="C34" s="195"/>
      <c r="D34" s="195"/>
      <c r="E34" s="195"/>
      <c r="F34" s="195"/>
      <c r="G34" s="195"/>
      <c r="H34" s="195"/>
    </row>
    <row r="35" spans="2:8">
      <c r="B35" s="195"/>
      <c r="C35" s="195"/>
      <c r="D35" s="195"/>
      <c r="E35" s="195"/>
      <c r="F35" s="195"/>
      <c r="G35" s="195"/>
      <c r="H35" s="195"/>
    </row>
    <row r="36" spans="2:8">
      <c r="B36" s="195"/>
      <c r="C36" s="195"/>
      <c r="D36" s="195"/>
      <c r="E36" s="195"/>
      <c r="F36" s="195"/>
      <c r="G36" s="195"/>
      <c r="H36" s="195"/>
    </row>
    <row r="37" spans="2:8">
      <c r="B37" s="195"/>
      <c r="C37" s="195"/>
      <c r="D37" s="195"/>
      <c r="E37" s="195"/>
      <c r="F37" s="195"/>
      <c r="G37" s="195"/>
      <c r="H37" s="195"/>
    </row>
    <row r="38" spans="2:8">
      <c r="B38" s="195"/>
      <c r="C38" s="195"/>
      <c r="D38" s="195"/>
      <c r="E38" s="195"/>
      <c r="F38" s="195"/>
      <c r="G38" s="195"/>
      <c r="H38" s="195"/>
    </row>
    <row r="39" spans="2:8">
      <c r="B39" s="195"/>
      <c r="C39" s="195"/>
      <c r="D39" s="195"/>
      <c r="E39" s="195"/>
      <c r="F39" s="195"/>
      <c r="G39" s="195"/>
      <c r="H39" s="195"/>
    </row>
    <row r="40" spans="2:8">
      <c r="B40" s="195"/>
      <c r="C40" s="195"/>
      <c r="D40" s="195"/>
      <c r="E40" s="195"/>
      <c r="F40" s="195"/>
      <c r="G40" s="195"/>
      <c r="H40" s="195"/>
    </row>
    <row r="41" spans="2:8">
      <c r="B41" s="195"/>
      <c r="C41" s="195"/>
      <c r="D41" s="195"/>
      <c r="E41" s="195"/>
      <c r="F41" s="195"/>
      <c r="G41" s="195"/>
      <c r="H41" s="195"/>
    </row>
    <row r="42" spans="2:8">
      <c r="B42" s="195"/>
      <c r="C42" s="195"/>
      <c r="D42" s="195"/>
      <c r="E42" s="195"/>
      <c r="F42" s="195"/>
      <c r="G42" s="195"/>
      <c r="H42" s="195"/>
    </row>
    <row r="43" spans="2:8">
      <c r="B43" s="195"/>
      <c r="C43" s="195"/>
      <c r="D43" s="195"/>
      <c r="E43" s="195"/>
      <c r="F43" s="195"/>
      <c r="G43" s="195"/>
      <c r="H43" s="195"/>
    </row>
    <row r="44" spans="2:8">
      <c r="B44" s="195"/>
      <c r="C44" s="195"/>
      <c r="D44" s="195"/>
      <c r="E44" s="195"/>
      <c r="F44" s="195"/>
      <c r="G44" s="195"/>
      <c r="H44" s="195"/>
    </row>
    <row r="45" spans="2:8">
      <c r="B45" s="195"/>
      <c r="C45" s="195"/>
      <c r="D45" s="195"/>
      <c r="E45" s="195"/>
      <c r="F45" s="195"/>
      <c r="G45" s="195"/>
      <c r="H45" s="195"/>
    </row>
    <row r="46" spans="2:8">
      <c r="B46" s="195"/>
      <c r="C46" s="195"/>
      <c r="D46" s="195"/>
      <c r="E46" s="195"/>
      <c r="F46" s="195"/>
      <c r="G46" s="195"/>
      <c r="H46" s="195"/>
    </row>
    <row r="47" spans="2:8">
      <c r="B47" s="195"/>
      <c r="C47" s="195"/>
      <c r="D47" s="195"/>
      <c r="E47" s="195"/>
      <c r="F47" s="195"/>
      <c r="G47" s="195"/>
      <c r="H47" s="195"/>
    </row>
    <row r="48" spans="2:8">
      <c r="B48" s="195"/>
      <c r="C48" s="195"/>
      <c r="D48" s="195"/>
      <c r="E48" s="195"/>
      <c r="F48" s="195"/>
      <c r="G48" s="195"/>
      <c r="H48" s="195"/>
    </row>
    <row r="49" spans="2:8">
      <c r="B49" s="195"/>
      <c r="C49" s="195"/>
      <c r="D49" s="195"/>
      <c r="E49" s="195"/>
      <c r="F49" s="195"/>
      <c r="G49" s="195"/>
      <c r="H49" s="195"/>
    </row>
    <row r="50" spans="2:8">
      <c r="B50" s="195"/>
      <c r="C50" s="195"/>
      <c r="D50" s="195"/>
      <c r="E50" s="195"/>
      <c r="F50" s="195"/>
      <c r="G50" s="195"/>
      <c r="H50" s="195"/>
    </row>
    <row r="51" spans="2:8">
      <c r="B51" s="195"/>
      <c r="C51" s="195"/>
      <c r="D51" s="195"/>
      <c r="E51" s="195"/>
      <c r="F51" s="195"/>
      <c r="G51" s="195"/>
      <c r="H51" s="195"/>
    </row>
    <row r="52" spans="2:8">
      <c r="B52" s="195"/>
      <c r="C52" s="195"/>
      <c r="D52" s="195"/>
      <c r="E52" s="195"/>
      <c r="F52" s="195"/>
      <c r="G52" s="195"/>
      <c r="H52" s="195"/>
    </row>
    <row r="53" spans="2:8">
      <c r="B53" s="195"/>
      <c r="C53" s="195"/>
      <c r="D53" s="195"/>
      <c r="E53" s="195"/>
      <c r="F53" s="195"/>
      <c r="G53" s="195"/>
      <c r="H53" s="195"/>
    </row>
    <row r="54" spans="2:8">
      <c r="B54" s="195"/>
      <c r="C54" s="195"/>
      <c r="D54" s="195"/>
      <c r="E54" s="195"/>
      <c r="F54" s="195"/>
      <c r="G54" s="195"/>
      <c r="H54" s="195"/>
    </row>
    <row r="55" spans="2:8">
      <c r="B55" s="195"/>
      <c r="C55" s="195"/>
      <c r="D55" s="195"/>
      <c r="E55" s="195"/>
      <c r="F55" s="195"/>
      <c r="G55" s="195"/>
      <c r="H55" s="195"/>
    </row>
    <row r="56" spans="2:8">
      <c r="B56" s="195"/>
      <c r="C56" s="195"/>
      <c r="D56" s="195"/>
      <c r="E56" s="195"/>
      <c r="F56" s="195"/>
      <c r="G56" s="195"/>
      <c r="H56" s="195"/>
    </row>
    <row r="57" spans="2:8">
      <c r="B57" s="195"/>
      <c r="C57" s="195"/>
      <c r="D57" s="195"/>
      <c r="E57" s="195"/>
      <c r="F57" s="195"/>
      <c r="G57" s="195"/>
      <c r="H57" s="195"/>
    </row>
    <row r="58" spans="2:8">
      <c r="B58" s="195"/>
      <c r="C58" s="195"/>
      <c r="D58" s="195"/>
      <c r="E58" s="195"/>
      <c r="F58" s="195"/>
      <c r="G58" s="195"/>
      <c r="H58" s="195"/>
    </row>
    <row r="59" spans="2:8">
      <c r="B59" s="195"/>
      <c r="C59" s="195"/>
      <c r="D59" s="195"/>
      <c r="E59" s="195"/>
      <c r="F59" s="195"/>
      <c r="G59" s="195"/>
      <c r="H59" s="195"/>
    </row>
    <row r="60" spans="2:8">
      <c r="B60" s="195"/>
      <c r="C60" s="195"/>
      <c r="D60" s="195"/>
      <c r="E60" s="195"/>
      <c r="F60" s="195"/>
      <c r="G60" s="195"/>
      <c r="H60" s="195"/>
    </row>
    <row r="61" spans="2:8">
      <c r="B61" s="195"/>
      <c r="C61" s="195"/>
      <c r="D61" s="195"/>
      <c r="E61" s="195"/>
      <c r="F61" s="195"/>
      <c r="G61" s="195"/>
      <c r="H61" s="195"/>
    </row>
    <row r="62" spans="2:8">
      <c r="B62" s="195"/>
      <c r="C62" s="195"/>
      <c r="D62" s="195"/>
      <c r="E62" s="195"/>
      <c r="F62" s="195"/>
      <c r="G62" s="195"/>
      <c r="H62" s="195"/>
    </row>
    <row r="63" spans="2:8">
      <c r="B63" s="195"/>
      <c r="C63" s="195"/>
      <c r="D63" s="195"/>
      <c r="E63" s="195"/>
      <c r="F63" s="195"/>
      <c r="G63" s="195"/>
      <c r="H63" s="195"/>
    </row>
    <row r="64" spans="2:8">
      <c r="B64" s="195"/>
      <c r="C64" s="195"/>
      <c r="D64" s="195"/>
      <c r="E64" s="195"/>
      <c r="F64" s="195"/>
      <c r="G64" s="195"/>
      <c r="H64" s="195"/>
    </row>
    <row r="65" spans="2:8">
      <c r="B65" s="195"/>
      <c r="C65" s="195"/>
      <c r="D65" s="195"/>
      <c r="E65" s="195"/>
      <c r="F65" s="195"/>
      <c r="G65" s="195"/>
      <c r="H65" s="195"/>
    </row>
    <row r="66" spans="2:8">
      <c r="B66" s="195"/>
      <c r="C66" s="195"/>
      <c r="D66" s="195"/>
      <c r="E66" s="195"/>
      <c r="F66" s="195"/>
      <c r="G66" s="195"/>
      <c r="H66" s="195"/>
    </row>
    <row r="67" spans="2:8">
      <c r="B67" s="195"/>
      <c r="C67" s="195"/>
      <c r="D67" s="195"/>
      <c r="E67" s="195"/>
      <c r="F67" s="195"/>
      <c r="G67" s="195"/>
      <c r="H67" s="195"/>
    </row>
    <row r="68" spans="2:8">
      <c r="B68" s="195"/>
      <c r="C68" s="195"/>
      <c r="D68" s="195"/>
      <c r="E68" s="195"/>
      <c r="F68" s="195"/>
      <c r="G68" s="195"/>
      <c r="H68" s="195"/>
    </row>
    <row r="69" spans="2:8">
      <c r="B69" s="195"/>
      <c r="C69" s="195"/>
      <c r="D69" s="195"/>
      <c r="E69" s="195"/>
      <c r="F69" s="195"/>
      <c r="G69" s="195"/>
      <c r="H69" s="195"/>
    </row>
    <row r="70" spans="2:8">
      <c r="B70" s="195"/>
      <c r="C70" s="195"/>
      <c r="D70" s="195"/>
      <c r="E70" s="195"/>
      <c r="F70" s="195"/>
      <c r="G70" s="195"/>
      <c r="H70" s="195"/>
    </row>
    <row r="71" spans="2:8">
      <c r="B71" s="195"/>
      <c r="C71" s="195"/>
      <c r="D71" s="195"/>
      <c r="E71" s="195"/>
      <c r="F71" s="195"/>
      <c r="G71" s="195"/>
      <c r="H71" s="195"/>
    </row>
    <row r="72" spans="2:8">
      <c r="B72" s="195"/>
      <c r="C72" s="195"/>
      <c r="D72" s="195"/>
      <c r="E72" s="195"/>
      <c r="F72" s="195"/>
      <c r="G72" s="195"/>
      <c r="H72" s="195"/>
    </row>
    <row r="73" spans="2:8">
      <c r="B73" s="195"/>
      <c r="C73" s="195"/>
      <c r="D73" s="195"/>
      <c r="E73" s="195"/>
      <c r="F73" s="195"/>
      <c r="G73" s="195"/>
      <c r="H73" s="195"/>
    </row>
    <row r="74" spans="2:8">
      <c r="B74" s="195"/>
      <c r="C74" s="195"/>
      <c r="D74" s="195"/>
      <c r="E74" s="195"/>
      <c r="F74" s="195"/>
      <c r="G74" s="195"/>
      <c r="H74" s="195"/>
    </row>
    <row r="75" spans="2:8">
      <c r="B75" s="195"/>
      <c r="C75" s="195"/>
      <c r="D75" s="195"/>
      <c r="E75" s="195"/>
      <c r="F75" s="195"/>
      <c r="G75" s="195"/>
      <c r="H75" s="195"/>
    </row>
    <row r="76" spans="2:8">
      <c r="B76" s="195"/>
      <c r="C76" s="195"/>
      <c r="D76" s="195"/>
      <c r="E76" s="195"/>
      <c r="F76" s="195"/>
      <c r="G76" s="195"/>
      <c r="H76" s="195"/>
    </row>
    <row r="77" spans="2:8">
      <c r="B77" s="195"/>
      <c r="C77" s="195"/>
      <c r="D77" s="195"/>
      <c r="E77" s="195"/>
      <c r="F77" s="195"/>
      <c r="G77" s="195"/>
      <c r="H77" s="195"/>
    </row>
    <row r="78" spans="2:8">
      <c r="B78" s="195"/>
      <c r="C78" s="195"/>
      <c r="D78" s="195"/>
      <c r="E78" s="195"/>
      <c r="F78" s="195"/>
      <c r="G78" s="195"/>
      <c r="H78" s="195"/>
    </row>
    <row r="79" spans="2:8">
      <c r="B79" s="195"/>
      <c r="C79" s="195"/>
      <c r="D79" s="195"/>
      <c r="E79" s="195"/>
      <c r="F79" s="195"/>
      <c r="G79" s="195"/>
      <c r="H79" s="195"/>
    </row>
    <row r="80" spans="2:8">
      <c r="B80" s="195"/>
      <c r="C80" s="195"/>
      <c r="D80" s="195"/>
      <c r="E80" s="195"/>
      <c r="F80" s="195"/>
      <c r="G80" s="195"/>
      <c r="H80" s="195"/>
    </row>
    <row r="81" spans="2:8">
      <c r="B81" s="195"/>
      <c r="C81" s="195"/>
      <c r="D81" s="195"/>
      <c r="E81" s="195"/>
      <c r="F81" s="195"/>
      <c r="G81" s="195"/>
      <c r="H81" s="195"/>
    </row>
    <row r="82" spans="2:8">
      <c r="B82" s="195"/>
      <c r="C82" s="195"/>
      <c r="D82" s="195"/>
      <c r="E82" s="195"/>
      <c r="F82" s="195"/>
      <c r="G82" s="195"/>
      <c r="H82" s="195"/>
    </row>
    <row r="83" spans="2:8">
      <c r="B83" s="195"/>
      <c r="C83" s="195"/>
      <c r="D83" s="195"/>
      <c r="E83" s="195"/>
      <c r="F83" s="195"/>
      <c r="G83" s="195"/>
      <c r="H83" s="195"/>
    </row>
    <row r="84" spans="2:8">
      <c r="B84" s="195"/>
      <c r="C84" s="195"/>
      <c r="D84" s="195"/>
      <c r="E84" s="195"/>
      <c r="F84" s="195"/>
      <c r="G84" s="195"/>
      <c r="H84" s="195"/>
    </row>
    <row r="85" spans="2:8">
      <c r="B85" s="195"/>
      <c r="C85" s="195"/>
      <c r="D85" s="195"/>
      <c r="E85" s="195"/>
      <c r="F85" s="195"/>
      <c r="G85" s="195"/>
      <c r="H85" s="195"/>
    </row>
    <row r="86" spans="2:8">
      <c r="B86" s="195"/>
      <c r="C86" s="195"/>
      <c r="D86" s="195"/>
      <c r="E86" s="195"/>
      <c r="F86" s="195"/>
      <c r="G86" s="195"/>
      <c r="H86" s="195"/>
    </row>
    <row r="87" spans="2:8">
      <c r="B87" s="195"/>
      <c r="C87" s="195"/>
      <c r="D87" s="195"/>
      <c r="E87" s="195"/>
      <c r="F87" s="195"/>
      <c r="G87" s="195"/>
      <c r="H87" s="195"/>
    </row>
    <row r="88" spans="2:8">
      <c r="B88" s="195"/>
      <c r="C88" s="195"/>
      <c r="D88" s="195"/>
      <c r="E88" s="195"/>
      <c r="F88" s="195"/>
      <c r="G88" s="195"/>
      <c r="H88" s="195"/>
    </row>
    <row r="89" spans="2:8">
      <c r="B89" s="195"/>
      <c r="C89" s="195"/>
      <c r="D89" s="195"/>
      <c r="E89" s="195"/>
      <c r="F89" s="195"/>
      <c r="G89" s="195"/>
      <c r="H89" s="195"/>
    </row>
    <row r="90" spans="2:8">
      <c r="B90" s="195"/>
      <c r="C90" s="195"/>
      <c r="D90" s="195"/>
      <c r="E90" s="195"/>
      <c r="F90" s="195"/>
      <c r="G90" s="195"/>
      <c r="H90" s="195"/>
    </row>
    <row r="91" spans="2:8">
      <c r="B91" s="195"/>
      <c r="C91" s="195"/>
      <c r="D91" s="195"/>
      <c r="E91" s="195"/>
      <c r="F91" s="195"/>
      <c r="G91" s="195"/>
      <c r="H91" s="195"/>
    </row>
    <row r="92" spans="2:8">
      <c r="B92" s="195"/>
      <c r="C92" s="195"/>
      <c r="D92" s="195"/>
      <c r="E92" s="195"/>
      <c r="F92" s="195"/>
      <c r="G92" s="195"/>
      <c r="H92" s="195"/>
    </row>
    <row r="93" spans="2:8">
      <c r="B93" s="195"/>
      <c r="C93" s="195"/>
      <c r="D93" s="195"/>
      <c r="E93" s="195"/>
      <c r="F93" s="195"/>
      <c r="G93" s="195"/>
      <c r="H93" s="195"/>
    </row>
    <row r="94" spans="2:8">
      <c r="B94" s="195"/>
      <c r="C94" s="195"/>
      <c r="D94" s="195"/>
      <c r="E94" s="195"/>
      <c r="F94" s="195"/>
      <c r="G94" s="195"/>
      <c r="H94" s="195"/>
    </row>
    <row r="95" spans="2:8">
      <c r="B95" s="195"/>
      <c r="C95" s="195"/>
      <c r="D95" s="195"/>
      <c r="E95" s="195"/>
      <c r="F95" s="195"/>
      <c r="G95" s="195"/>
      <c r="H95" s="195"/>
    </row>
    <row r="96" spans="2:8">
      <c r="B96" s="195"/>
      <c r="C96" s="195"/>
      <c r="D96" s="195"/>
      <c r="E96" s="195"/>
      <c r="F96" s="195"/>
      <c r="G96" s="195"/>
      <c r="H96" s="195"/>
    </row>
    <row r="97" spans="2:8">
      <c r="B97" s="195"/>
      <c r="C97" s="195"/>
      <c r="D97" s="195"/>
      <c r="E97" s="195"/>
      <c r="F97" s="195"/>
      <c r="G97" s="195"/>
      <c r="H97" s="195"/>
    </row>
    <row r="98" spans="2:8">
      <c r="B98" s="195"/>
      <c r="C98" s="195"/>
      <c r="D98" s="195"/>
      <c r="E98" s="195"/>
      <c r="F98" s="195"/>
      <c r="G98" s="195"/>
      <c r="H98" s="195"/>
    </row>
    <row r="99" spans="2:8">
      <c r="B99" s="195"/>
      <c r="C99" s="195"/>
      <c r="D99" s="195"/>
      <c r="E99" s="195"/>
      <c r="F99" s="195"/>
      <c r="G99" s="195"/>
      <c r="H99" s="195"/>
    </row>
    <row r="100" spans="2:8">
      <c r="B100" s="195"/>
      <c r="C100" s="195"/>
      <c r="D100" s="195"/>
      <c r="E100" s="195"/>
      <c r="F100" s="195"/>
      <c r="G100" s="195"/>
      <c r="H100" s="195"/>
    </row>
    <row r="101" spans="2:8">
      <c r="B101" s="195"/>
      <c r="C101" s="195"/>
      <c r="D101" s="195"/>
      <c r="E101" s="195"/>
      <c r="F101" s="195"/>
      <c r="G101" s="195"/>
      <c r="H101" s="195"/>
    </row>
    <row r="102" spans="2:8">
      <c r="B102" s="195"/>
      <c r="C102" s="195"/>
      <c r="D102" s="195"/>
      <c r="E102" s="195"/>
      <c r="F102" s="195"/>
      <c r="G102" s="195"/>
      <c r="H102" s="195"/>
    </row>
    <row r="103" spans="2:8">
      <c r="B103" s="195"/>
      <c r="C103" s="195"/>
      <c r="D103" s="195"/>
      <c r="E103" s="195"/>
      <c r="F103" s="195"/>
      <c r="G103" s="195"/>
      <c r="H103" s="195"/>
    </row>
    <row r="104" spans="2:8">
      <c r="B104" s="195"/>
      <c r="C104" s="195"/>
      <c r="D104" s="195"/>
      <c r="E104" s="195"/>
      <c r="F104" s="195"/>
      <c r="G104" s="195"/>
      <c r="H104" s="195"/>
    </row>
    <row r="105" spans="2:8">
      <c r="B105" s="195"/>
      <c r="C105" s="195"/>
      <c r="D105" s="195"/>
      <c r="E105" s="195"/>
      <c r="F105" s="195"/>
      <c r="G105" s="195"/>
      <c r="H105" s="195"/>
    </row>
    <row r="106" spans="2:8">
      <c r="B106" s="195"/>
      <c r="C106" s="195"/>
      <c r="D106" s="195"/>
      <c r="E106" s="195"/>
      <c r="F106" s="195"/>
      <c r="G106" s="195"/>
      <c r="H106" s="195"/>
    </row>
    <row r="107" spans="2:8">
      <c r="B107" s="195"/>
      <c r="C107" s="195"/>
      <c r="D107" s="195"/>
      <c r="E107" s="195"/>
      <c r="F107" s="195"/>
      <c r="G107" s="195"/>
      <c r="H107" s="195"/>
    </row>
    <row r="108" spans="2:8">
      <c r="B108" s="195"/>
      <c r="C108" s="195"/>
      <c r="D108" s="195"/>
      <c r="E108" s="195"/>
      <c r="F108" s="195"/>
      <c r="G108" s="195"/>
      <c r="H108" s="195"/>
    </row>
    <row r="109" spans="2:8">
      <c r="B109" s="195"/>
      <c r="C109" s="195"/>
      <c r="D109" s="195"/>
      <c r="E109" s="195"/>
      <c r="F109" s="195"/>
      <c r="G109" s="195"/>
      <c r="H109" s="195"/>
    </row>
    <row r="110" spans="2:8">
      <c r="B110" s="195"/>
      <c r="C110" s="195"/>
      <c r="D110" s="195"/>
      <c r="E110" s="195"/>
      <c r="F110" s="195"/>
      <c r="G110" s="195"/>
      <c r="H110" s="195"/>
    </row>
    <row r="111" spans="2:8">
      <c r="B111" s="195"/>
      <c r="C111" s="195"/>
      <c r="D111" s="195"/>
      <c r="E111" s="195"/>
      <c r="F111" s="195"/>
      <c r="G111" s="195"/>
      <c r="H111" s="195"/>
    </row>
    <row r="112" spans="2:8">
      <c r="B112" s="195"/>
      <c r="C112" s="195"/>
      <c r="D112" s="195"/>
      <c r="E112" s="195"/>
      <c r="F112" s="195"/>
      <c r="G112" s="195"/>
      <c r="H112" s="195"/>
    </row>
    <row r="113" spans="2:8">
      <c r="B113" s="195"/>
      <c r="C113" s="195"/>
      <c r="D113" s="195"/>
      <c r="E113" s="195"/>
      <c r="F113" s="195"/>
      <c r="G113" s="195"/>
      <c r="H113" s="195"/>
    </row>
    <row r="114" spans="2:8">
      <c r="B114" s="195"/>
      <c r="C114" s="195"/>
      <c r="D114" s="195"/>
      <c r="E114" s="195"/>
      <c r="F114" s="195"/>
      <c r="G114" s="195"/>
      <c r="H114" s="195"/>
    </row>
    <row r="115" spans="2:8">
      <c r="B115" s="195"/>
      <c r="C115" s="195"/>
      <c r="D115" s="195"/>
      <c r="E115" s="195"/>
      <c r="F115" s="195"/>
      <c r="G115" s="195"/>
      <c r="H115" s="195"/>
    </row>
    <row r="116" spans="2:8">
      <c r="B116" s="195"/>
      <c r="C116" s="195"/>
      <c r="D116" s="195"/>
      <c r="E116" s="195"/>
      <c r="F116" s="195"/>
      <c r="G116" s="195"/>
      <c r="H116" s="195"/>
    </row>
    <row r="117" spans="2:8">
      <c r="B117" s="195"/>
      <c r="C117" s="195"/>
      <c r="D117" s="195"/>
      <c r="E117" s="195"/>
      <c r="F117" s="195"/>
      <c r="G117" s="195"/>
      <c r="H117" s="195"/>
    </row>
    <row r="118" spans="2:8">
      <c r="B118" s="195"/>
      <c r="C118" s="195"/>
      <c r="D118" s="195"/>
      <c r="E118" s="195"/>
      <c r="F118" s="195"/>
      <c r="G118" s="195"/>
      <c r="H118" s="195"/>
    </row>
    <row r="119" spans="2:8">
      <c r="B119" s="195"/>
      <c r="C119" s="195"/>
      <c r="D119" s="195"/>
      <c r="E119" s="195"/>
      <c r="F119" s="195"/>
      <c r="G119" s="195"/>
      <c r="H119" s="195"/>
    </row>
    <row r="120" spans="2:8">
      <c r="B120" s="195"/>
      <c r="C120" s="195"/>
      <c r="D120" s="195"/>
      <c r="E120" s="195"/>
      <c r="F120" s="195"/>
      <c r="G120" s="195"/>
      <c r="H120" s="195"/>
    </row>
    <row r="121" spans="2:8">
      <c r="B121" s="195"/>
      <c r="C121" s="195"/>
      <c r="D121" s="195"/>
      <c r="E121" s="195"/>
      <c r="F121" s="195"/>
      <c r="G121" s="195"/>
      <c r="H121" s="195"/>
    </row>
  </sheetData>
  <mergeCells count="18">
    <mergeCell ref="B19:H19"/>
    <mergeCell ref="B20:H20"/>
    <mergeCell ref="C15:E16"/>
    <mergeCell ref="F15:F16"/>
    <mergeCell ref="B2:H3"/>
    <mergeCell ref="B4:H4"/>
    <mergeCell ref="C14:E14"/>
    <mergeCell ref="B15:B16"/>
    <mergeCell ref="B17:G17"/>
    <mergeCell ref="B18:G18"/>
    <mergeCell ref="B28:H28"/>
    <mergeCell ref="E21:G21"/>
    <mergeCell ref="B21:D21"/>
    <mergeCell ref="B26:H26"/>
    <mergeCell ref="B24:H24"/>
    <mergeCell ref="E22:G22"/>
    <mergeCell ref="B23:H23"/>
    <mergeCell ref="B22:D22"/>
  </mergeCells>
  <phoneticPr fontId="5" type="noConversion"/>
  <pageMargins left="0.7" right="0.7" top="0.75" bottom="0.75" header="0.3" footer="0.3"/>
  <pageSetup paperSize="9" scale="78" fitToHeight="0" orientation="portrait" r:id="rId1"/>
  <headerFooter alignWithMargins="0"/>
  <colBreaks count="1" manualBreakCount="1">
    <brk id="8" max="2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FD47A3E200A234CB284881A3F7729F2" ma:contentTypeVersion="11" ma:contentTypeDescription="새 문서를 만듭니다." ma:contentTypeScope="" ma:versionID="bcf97c9bc691c6048566cdf852e3b20e">
  <xsd:schema xmlns:xsd="http://www.w3.org/2001/XMLSchema" xmlns:xs="http://www.w3.org/2001/XMLSchema" xmlns:p="http://schemas.microsoft.com/office/2006/metadata/properties" xmlns:ns3="c23c669a-664a-4374-84c4-43196d15349a" targetNamespace="http://schemas.microsoft.com/office/2006/metadata/properties" ma:root="true" ma:fieldsID="ff92282ec665f48ef3fa2449ed7ed934" ns3:_="">
    <xsd:import namespace="c23c669a-664a-4374-84c4-43196d1534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c669a-664a-4374-84c4-43196d153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28AFCC-68B1-43D8-8F97-FF8A3A870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c669a-664a-4374-84c4-43196d153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32F428-B547-423B-9FD2-7298B0208B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163FCA-1B95-43E4-8BB5-D8142B034C6E}">
  <ds:schemaRefs>
    <ds:schemaRef ds:uri="http://purl.org/dc/dcmitype/"/>
    <ds:schemaRef ds:uri="http://schemas.microsoft.com/office/2006/metadata/properties"/>
    <ds:schemaRef ds:uri="http://purl.org/dc/elements/1.1/"/>
    <ds:schemaRef ds:uri="c23c669a-664a-4374-84c4-43196d15349a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스프린트 (마케팅, 개발, 디자인)</vt:lpstr>
      <vt:lpstr>FLES (마케팅, 개발, 디자인)</vt:lpstr>
      <vt:lpstr>안르 (마케팅, 개발, 디자인)</vt:lpstr>
      <vt:lpstr>다름과이음 (마케팅, 개발, 디자인)</vt:lpstr>
      <vt:lpstr>위드앤코 (마케팅, 디자인)</vt:lpstr>
      <vt:lpstr>테키 (마케팅)</vt:lpstr>
      <vt:lpstr>이음 (특허)</vt:lpstr>
      <vt:lpstr>올림 (특허)</vt:lpstr>
      <vt:lpstr>'다름과이음 (마케팅, 개발, 디자인)'!Print_Area</vt:lpstr>
      <vt:lpstr>'스프린트 (마케팅, 개발, 디자인)'!Print_Area</vt:lpstr>
      <vt:lpstr>'안르 (마케팅, 개발, 디자인)'!Print_Area</vt:lpstr>
      <vt:lpstr>'올림 (특허)'!Print_Area</vt:lpstr>
      <vt:lpstr>'위드앤코 (마케팅, 디자인)'!Print_Area</vt:lpstr>
      <vt:lpstr>'이음 (특허)'!Print_Area</vt:lpstr>
      <vt:lpstr>'테키 (마케팅)'!Print_Area</vt:lpstr>
      <vt:lpstr>'FLES (마케팅, 개발, 디자인)'!Print_Area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BAEK</dc:creator>
  <cp:lastModifiedBy>김 재훈</cp:lastModifiedBy>
  <cp:lastPrinted>2025-09-16T08:29:52Z</cp:lastPrinted>
  <dcterms:created xsi:type="dcterms:W3CDTF">2022-09-02T05:07:58Z</dcterms:created>
  <dcterms:modified xsi:type="dcterms:W3CDTF">2025-09-16T08:29:57Z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0x0101003FD47A3E200A234CB284881A3F7729F2</vt:lpwstr>
  </property>
</Properties>
</file>