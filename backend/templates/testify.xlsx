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111-04-2310-01/Desktop/데이터전략본부 자료/데본 AX 자료/데솔 AX/견적서 자동화 솔루션/견적서-시장검증/"/>
    </mc:Choice>
  </mc:AlternateContent>
  <xr:revisionPtr revIDLastSave="0" documentId="13_ncr:1_{275CB330-0FE9-2C41-95B0-53AC88D8E881}" xr6:coauthVersionLast="47" xr6:coauthVersionMax="47" xr10:uidLastSave="{00000000-0000-0000-0000-000000000000}"/>
  <bookViews>
    <workbookView xWindow="0" yWindow="660" windowWidth="34560" windowHeight="20280" xr2:uid="{00000000-000D-0000-FFFF-FFFF00000000}"/>
  </bookViews>
  <sheets>
    <sheet name="시장검증" sheetId="1" r:id="rId1"/>
    <sheet name="마케팅" sheetId="2" r:id="rId2"/>
  </sheets>
  <definedNames>
    <definedName name="_xlnm.Print_Area" localSheetId="1">마케팅!$A$1:$K$39</definedName>
    <definedName name="_xlnm.Print_Area" localSheetId="0">시장검증!$A$1:$K$51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31" i="2"/>
  <c r="H24" i="2"/>
  <c r="H30" i="2"/>
  <c r="H29" i="2"/>
  <c r="H23" i="2"/>
  <c r="H22" i="2"/>
  <c r="H21" i="2"/>
  <c r="H27" i="2"/>
  <c r="H26" i="2"/>
  <c r="H25" i="2"/>
  <c r="H19" i="2"/>
  <c r="H18" i="2"/>
  <c r="H17" i="2"/>
  <c r="H16" i="2"/>
  <c r="H20" i="2" l="1"/>
  <c r="H28" i="2"/>
  <c r="H15" i="2"/>
  <c r="H32" i="2" l="1"/>
  <c r="H33" i="2" s="1"/>
  <c r="H10" i="2" s="1"/>
  <c r="H19" i="1"/>
  <c r="H18" i="1"/>
  <c r="H17" i="1"/>
  <c r="H24" i="1"/>
  <c r="H16" i="1"/>
  <c r="H23" i="1"/>
  <c r="H22" i="1"/>
  <c r="H15" i="1" l="1"/>
  <c r="H21" i="1"/>
  <c r="H43" i="1" l="1"/>
  <c r="H44" i="1" s="1"/>
  <c r="H45" i="1" s="1"/>
  <c r="H10" i="1" s="1"/>
</calcChain>
</file>

<file path=xl/sharedStrings.xml><?xml version="1.0" encoding="utf-8"?>
<sst xmlns="http://schemas.openxmlformats.org/spreadsheetml/2006/main" count="99" uniqueCount="62">
  <si>
    <t>비고</t>
    <phoneticPr fontId="2" type="noConversion"/>
  </si>
  <si>
    <t>금액</t>
    <phoneticPr fontId="2" type="noConversion"/>
  </si>
  <si>
    <t>원정 (VAT 포함)</t>
    <phoneticPr fontId="2" type="noConversion"/>
  </si>
  <si>
    <t>항 목</t>
    <phoneticPr fontId="2" type="noConversion"/>
  </si>
  <si>
    <t>단가 (원)</t>
    <phoneticPr fontId="2" type="noConversion"/>
  </si>
  <si>
    <t>총 합계 (합계+부가가치세)</t>
    <phoneticPr fontId="2" type="noConversion"/>
  </si>
  <si>
    <t>비고</t>
  </si>
  <si>
    <t>사업자 등록번호</t>
    <phoneticPr fontId="2" type="noConversion"/>
  </si>
  <si>
    <t>김 재 훈</t>
    <phoneticPr fontId="2" type="noConversion"/>
  </si>
  <si>
    <t>주식회사 테스티파이</t>
    <phoneticPr fontId="2" type="noConversion"/>
  </si>
  <si>
    <t>262-87-02742</t>
    <phoneticPr fontId="2" type="noConversion"/>
  </si>
  <si>
    <t>010-9003-6838</t>
    <phoneticPr fontId="2" type="noConversion"/>
  </si>
  <si>
    <t>2.  제작 결과물은 주식회사 테스티파이의 포트폴리오로 활용될 수 있음</t>
    <phoneticPr fontId="2" type="noConversion"/>
  </si>
  <si>
    <t>3. 가격의 외부 유출 금지</t>
    <phoneticPr fontId="2" type="noConversion"/>
  </si>
  <si>
    <t>충청북도 청주시 청원구 오창읍 오창중앙로 123-12, 1동 4층 402호 B31호</t>
    <phoneticPr fontId="2" type="noConversion"/>
  </si>
  <si>
    <t>연락처</t>
    <phoneticPr fontId="2" type="noConversion"/>
  </si>
  <si>
    <t>이메일</t>
    <phoneticPr fontId="2" type="noConversion"/>
  </si>
  <si>
    <t>대표자</t>
    <phoneticPr fontId="2" type="noConversion"/>
  </si>
  <si>
    <t>상호명</t>
    <phoneticPr fontId="2" type="noConversion"/>
  </si>
  <si>
    <t>견    적    서</t>
  </si>
  <si>
    <t>아래와 같이 견적합니다.</t>
    <phoneticPr fontId="2" type="noConversion"/>
  </si>
  <si>
    <t>공급가액(원)</t>
    <phoneticPr fontId="2" type="noConversion"/>
  </si>
  <si>
    <t>부가가치세 (10%)</t>
    <phoneticPr fontId="2" type="noConversion"/>
  </si>
  <si>
    <t>(인)</t>
    <phoneticPr fontId="2" type="noConversion"/>
  </si>
  <si>
    <t>사업장 주소</t>
    <phoneticPr fontId="2" type="noConversion"/>
  </si>
  <si>
    <t>합계</t>
    <phoneticPr fontId="2" type="noConversion"/>
  </si>
  <si>
    <t>작업일</t>
    <phoneticPr fontId="2" type="noConversion"/>
  </si>
  <si>
    <t>수량</t>
    <phoneticPr fontId="2" type="noConversion"/>
  </si>
  <si>
    <t>kjh@testipie.com</t>
    <phoneticPr fontId="2" type="noConversion"/>
  </si>
  <si>
    <t>1. 본 견적서는 작성일로부터 14일간 유효함</t>
    <phoneticPr fontId="2" type="noConversion"/>
  </si>
  <si>
    <t>2026년</t>
    <phoneticPr fontId="2" type="noConversion"/>
  </si>
  <si>
    <t>시장성 테스트</t>
    <phoneticPr fontId="2" type="noConversion"/>
  </si>
  <si>
    <t>BM 진단 및 고도화</t>
    <phoneticPr fontId="2" type="noConversion"/>
  </si>
  <si>
    <t>결과 리포트 제공</t>
    <phoneticPr fontId="2" type="noConversion"/>
  </si>
  <si>
    <t>㈜미구 귀하</t>
    <phoneticPr fontId="2" type="noConversion"/>
  </si>
  <si>
    <t>설문형 시장검증</t>
    <phoneticPr fontId="2" type="noConversion"/>
  </si>
  <si>
    <t>설문 설계</t>
    <phoneticPr fontId="2" type="noConversion"/>
  </si>
  <si>
    <t>설문 데이터 가공 및 시각화</t>
    <phoneticPr fontId="2" type="noConversion"/>
  </si>
  <si>
    <t>MVP 광고안 기획 및 제작</t>
    <phoneticPr fontId="2" type="noConversion"/>
  </si>
  <si>
    <r>
      <t xml:space="preserve">설문응답자 모집 및 운영
</t>
    </r>
    <r>
      <rPr>
        <sz val="8"/>
        <rFont val="맑은 고딕"/>
        <family val="3"/>
        <charset val="129"/>
      </rPr>
      <t>*설문응답 리워드 포함</t>
    </r>
    <phoneticPr fontId="2" type="noConversion"/>
  </si>
  <si>
    <t>3월</t>
    <phoneticPr fontId="2" type="noConversion"/>
  </si>
  <si>
    <t>24일</t>
    <phoneticPr fontId="2" type="noConversion"/>
  </si>
  <si>
    <t>정량 데이터 시계열 분석</t>
    <phoneticPr fontId="2" type="noConversion"/>
  </si>
  <si>
    <t>정량 데이터 클러스터 분석</t>
    <phoneticPr fontId="2" type="noConversion"/>
  </si>
  <si>
    <t>용역명: 정량, 정성 데이터 기반 시장 검증 용역</t>
    <phoneticPr fontId="2" type="noConversion"/>
  </si>
  <si>
    <t>온라인 광고</t>
    <phoneticPr fontId="2" type="noConversion"/>
  </si>
  <si>
    <t>마케팅 전략안</t>
    <phoneticPr fontId="2" type="noConversion"/>
  </si>
  <si>
    <t>USP 설정 및 제안</t>
    <phoneticPr fontId="2" type="noConversion"/>
  </si>
  <si>
    <t>이미지형 광고 소재 제작</t>
    <phoneticPr fontId="2" type="noConversion"/>
  </si>
  <si>
    <t>Meta 광고 세팅 및 운영</t>
    <phoneticPr fontId="2" type="noConversion"/>
  </si>
  <si>
    <t>SEO 마케팅</t>
    <phoneticPr fontId="2" type="noConversion"/>
  </si>
  <si>
    <t>SEO 키워드 분석 및 제안</t>
    <phoneticPr fontId="2" type="noConversion"/>
  </si>
  <si>
    <t>테크니컬 SEO, 최적화</t>
    <phoneticPr fontId="2" type="noConversion"/>
  </si>
  <si>
    <t>SEO 성능 측정 및 보고</t>
    <phoneticPr fontId="2" type="noConversion"/>
  </si>
  <si>
    <t>자사몰 데이터 세팅</t>
    <phoneticPr fontId="2" type="noConversion"/>
  </si>
  <si>
    <t>자사몰 데이터 연결</t>
    <phoneticPr fontId="2" type="noConversion"/>
  </si>
  <si>
    <t>GA4, GTM 데이터 연결</t>
    <phoneticPr fontId="2" type="noConversion"/>
  </si>
  <si>
    <t>대시보드 구축 및 데이터 시각화</t>
    <phoneticPr fontId="2" type="noConversion"/>
  </si>
  <si>
    <t>그로스해킹</t>
    <phoneticPr fontId="2" type="noConversion"/>
  </si>
  <si>
    <t>주간단위 데이터 분석</t>
    <phoneticPr fontId="2" type="noConversion"/>
  </si>
  <si>
    <t>주간단위 액션플랜 수행</t>
    <phoneticPr fontId="2" type="noConversion"/>
  </si>
  <si>
    <t>용역명: 그로스해킹 마케팅 대행 용역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</si>
</sst>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-* #,##0_-;\-* #,##0_-;_-* &quot;-&quot;_-;_-@_-"/>
    <numFmt numFmtId="177" formatCode="#&quot;명&quot;"/>
    <numFmt numFmtId="178" formatCode="#0.0&quot;개월&quot;"/>
  </numFmts>
  <fonts count="21">
    <font>
      <sz val="12"/>
      <name val="바탕체"/>
      <family val="1"/>
      <charset val="129"/>
    </font>
    <font>
      <sz val="12"/>
      <name val="바탕체"/>
      <family val="1"/>
      <charset val="129"/>
    </font>
    <font>
      <sz val="8"/>
      <name val="바탕"/>
      <family val="1"/>
      <charset val="129"/>
    </font>
    <font>
      <u/>
      <sz val="12"/>
      <color theme="10"/>
      <name val="바탕체"/>
      <family val="1"/>
      <charset val="129"/>
    </font>
    <font>
      <sz val="10"/>
      <name val="맑은 고딕"/>
      <family val="2"/>
      <charset val="129"/>
    </font>
    <font>
      <b/>
      <sz val="12"/>
      <name val="맑은 고딕"/>
      <family val="2"/>
      <charset val="129"/>
    </font>
    <font>
      <sz val="12"/>
      <name val="맑은 고딕"/>
      <family val="2"/>
      <charset val="129"/>
    </font>
    <font>
      <sz val="9"/>
      <name val="맑은 고딕"/>
      <family val="2"/>
      <charset val="129"/>
    </font>
    <font>
      <b/>
      <sz val="33"/>
      <name val="맑은 고딕"/>
      <family val="2"/>
      <charset val="129"/>
    </font>
    <font>
      <b/>
      <u/>
      <sz val="14"/>
      <name val="맑은 고딕"/>
      <family val="2"/>
      <charset val="129"/>
    </font>
    <font>
      <sz val="18"/>
      <name val="맑은 고딕"/>
      <family val="2"/>
      <charset val="129"/>
    </font>
    <font>
      <sz val="14"/>
      <name val="맑은 고딕"/>
      <family val="2"/>
      <charset val="129"/>
    </font>
    <font>
      <b/>
      <sz val="14"/>
      <name val="맑은 고딕"/>
      <family val="2"/>
      <charset val="129"/>
    </font>
    <font>
      <b/>
      <sz val="10"/>
      <name val="맑은 고딕"/>
      <family val="2"/>
      <charset val="129"/>
    </font>
    <font>
      <sz val="8"/>
      <name val="맑은 고딕"/>
      <family val="2"/>
      <charset val="129"/>
    </font>
    <font>
      <sz val="14"/>
      <color rgb="FF000000"/>
      <name val="맑은 고딕"/>
      <family val="2"/>
      <charset val="129"/>
    </font>
    <font>
      <sz val="10"/>
      <name val="맑은 고딕 (본문)"/>
      <family val="3"/>
      <charset val="129"/>
    </font>
    <font>
      <u/>
      <sz val="10"/>
      <color theme="10"/>
      <name val="맑은 고딕 (본문)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</font>
    <font>
      <sz val="8"/>
      <name val="바탕체"/>
      <family val="1"/>
      <charset val="129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4">
    <xf numFmtId="0" fontId="0" fillId="0" borderId="0" xfId="0"/>
    <xf numFmtId="3" fontId="4" fillId="2" borderId="7" xfId="0" applyNumberFormat="1" applyFont="1" applyFill="1" applyBorder="1" applyAlignment="1">
      <alignment vertical="center"/>
    </xf>
    <xf numFmtId="3" fontId="4" fillId="2" borderId="13" xfId="0" applyNumberFormat="1" applyFont="1" applyFill="1" applyBorder="1" applyAlignment="1">
      <alignment vertical="center"/>
    </xf>
    <xf numFmtId="0" fontId="6" fillId="2" borderId="10" xfId="0" applyFont="1" applyFill="1" applyBorder="1"/>
    <xf numFmtId="0" fontId="6" fillId="2" borderId="11" xfId="0" applyFont="1" applyFill="1" applyBorder="1"/>
    <xf numFmtId="0" fontId="6" fillId="2" borderId="12" xfId="0" applyFont="1" applyFill="1" applyBorder="1"/>
    <xf numFmtId="0" fontId="6" fillId="2" borderId="0" xfId="0" applyFont="1" applyFill="1"/>
    <xf numFmtId="0" fontId="8" fillId="2" borderId="3" xfId="0" applyFont="1" applyFill="1" applyBorder="1" applyAlignment="1">
      <alignment horizontal="centerContinuous" vertical="top"/>
    </xf>
    <xf numFmtId="0" fontId="4" fillId="2" borderId="3" xfId="0" applyFont="1" applyFill="1" applyBorder="1" applyAlignment="1">
      <alignment horizontal="centerContinuous" vertical="top"/>
    </xf>
    <xf numFmtId="0" fontId="4" fillId="2" borderId="5" xfId="0" applyFont="1" applyFill="1" applyBorder="1" applyAlignment="1">
      <alignment horizontal="centerContinuous" vertical="top"/>
    </xf>
    <xf numFmtId="0" fontId="4" fillId="2" borderId="0" xfId="0" applyFont="1" applyFill="1" applyAlignment="1">
      <alignment vertical="top"/>
    </xf>
    <xf numFmtId="0" fontId="4" fillId="2" borderId="7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0" xfId="0" applyFont="1" applyFill="1"/>
    <xf numFmtId="3" fontId="4" fillId="2" borderId="0" xfId="0" applyNumberFormat="1" applyFont="1" applyFill="1"/>
    <xf numFmtId="0" fontId="6" fillId="2" borderId="14" xfId="0" applyFont="1" applyFill="1" applyBorder="1" applyAlignment="1">
      <alignment horizontal="right" vertical="center"/>
    </xf>
    <xf numFmtId="0" fontId="9" fillId="2" borderId="0" xfId="0" applyFont="1" applyFill="1" applyAlignment="1">
      <alignment horizontal="left" vertical="center" shrinkToFit="1"/>
    </xf>
    <xf numFmtId="0" fontId="4" fillId="2" borderId="8" xfId="0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4" fillId="2" borderId="0" xfId="0" applyFont="1" applyFill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15" xfId="0" applyFont="1" applyFill="1" applyBorder="1" applyAlignment="1">
      <alignment vertical="center"/>
    </xf>
    <xf numFmtId="0" fontId="13" fillId="2" borderId="15" xfId="0" applyFont="1" applyFill="1" applyBorder="1" applyAlignment="1">
      <alignment horizontal="right" vertical="center"/>
    </xf>
    <xf numFmtId="3" fontId="12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right" vertical="center"/>
    </xf>
    <xf numFmtId="3" fontId="12" fillId="2" borderId="14" xfId="0" applyNumberFormat="1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vertical="center"/>
    </xf>
    <xf numFmtId="0" fontId="4" fillId="2" borderId="9" xfId="0" applyFont="1" applyFill="1" applyBorder="1" applyAlignment="1">
      <alignment vertical="center"/>
    </xf>
    <xf numFmtId="3" fontId="13" fillId="4" borderId="4" xfId="0" applyNumberFormat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8" fontId="4" fillId="0" borderId="4" xfId="0" applyNumberFormat="1" applyFont="1" applyBorder="1" applyAlignment="1">
      <alignment horizontal="center" vertical="center"/>
    </xf>
    <xf numFmtId="177" fontId="4" fillId="2" borderId="4" xfId="0" applyNumberFormat="1" applyFont="1" applyFill="1" applyBorder="1" applyAlignment="1">
      <alignment horizontal="center" vertical="center"/>
    </xf>
    <xf numFmtId="3" fontId="14" fillId="2" borderId="6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4" fillId="2" borderId="6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vertical="center"/>
    </xf>
    <xf numFmtId="176" fontId="4" fillId="2" borderId="0" xfId="1" applyFont="1" applyFill="1"/>
    <xf numFmtId="3" fontId="14" fillId="3" borderId="10" xfId="0" applyNumberFormat="1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vertical="center"/>
    </xf>
    <xf numFmtId="3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vertical="center"/>
    </xf>
    <xf numFmtId="3" fontId="7" fillId="2" borderId="11" xfId="0" applyNumberFormat="1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3" fontId="7" fillId="2" borderId="14" xfId="0" applyNumberFormat="1" applyFont="1" applyFill="1" applyBorder="1" applyAlignment="1">
      <alignment horizontal="left" vertical="center"/>
    </xf>
    <xf numFmtId="3" fontId="7" fillId="2" borderId="0" xfId="0" applyNumberFormat="1" applyFont="1" applyFill="1" applyAlignment="1">
      <alignment horizontal="left" vertical="center"/>
    </xf>
    <xf numFmtId="3" fontId="4" fillId="2" borderId="0" xfId="0" applyNumberFormat="1" applyFont="1" applyFill="1" applyAlignment="1">
      <alignment vertical="center"/>
    </xf>
    <xf numFmtId="0" fontId="4" fillId="2" borderId="13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/>
    </xf>
    <xf numFmtId="0" fontId="4" fillId="2" borderId="14" xfId="0" applyFont="1" applyFill="1" applyBorder="1" applyAlignment="1">
      <alignment vertical="center"/>
    </xf>
    <xf numFmtId="0" fontId="14" fillId="2" borderId="0" xfId="0" applyFont="1" applyFill="1"/>
    <xf numFmtId="0" fontId="13" fillId="4" borderId="4" xfId="0" applyFont="1" applyFill="1" applyBorder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righ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" fontId="4" fillId="2" borderId="6" xfId="0" applyNumberFormat="1" applyFont="1" applyFill="1" applyBorder="1" applyAlignment="1">
      <alignment horizontal="right" vertical="center"/>
    </xf>
    <xf numFmtId="3" fontId="4" fillId="2" borderId="1" xfId="0" applyNumberFormat="1" applyFont="1" applyFill="1" applyBorder="1" applyAlignment="1">
      <alignment horizontal="right" vertical="center"/>
    </xf>
    <xf numFmtId="3" fontId="14" fillId="2" borderId="6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3" fontId="12" fillId="2" borderId="0" xfId="0" applyNumberFormat="1" applyFont="1" applyFill="1" applyAlignment="1">
      <alignment horizontal="center" vertical="center"/>
    </xf>
    <xf numFmtId="176" fontId="13" fillId="3" borderId="2" xfId="1" applyFont="1" applyFill="1" applyBorder="1" applyAlignment="1">
      <alignment horizontal="right" vertical="center"/>
    </xf>
    <xf numFmtId="176" fontId="13" fillId="3" borderId="1" xfId="1" applyFont="1" applyFill="1" applyBorder="1" applyAlignment="1">
      <alignment horizontal="right" vertical="center"/>
    </xf>
    <xf numFmtId="3" fontId="13" fillId="2" borderId="6" xfId="0" applyNumberFormat="1" applyFont="1" applyFill="1" applyBorder="1" applyAlignment="1">
      <alignment horizontal="right" vertical="center"/>
    </xf>
    <xf numFmtId="3" fontId="13" fillId="2" borderId="1" xfId="0" applyNumberFormat="1" applyFont="1" applyFill="1" applyBorder="1" applyAlignment="1">
      <alignment horizontal="right" vertical="center"/>
    </xf>
    <xf numFmtId="3" fontId="13" fillId="2" borderId="4" xfId="0" applyNumberFormat="1" applyFont="1" applyFill="1" applyBorder="1" applyAlignment="1">
      <alignment horizontal="right" vertical="center"/>
    </xf>
    <xf numFmtId="0" fontId="13" fillId="2" borderId="4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3" fontId="4" fillId="2" borderId="6" xfId="0" applyNumberFormat="1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left" vertical="center"/>
    </xf>
    <xf numFmtId="3" fontId="12" fillId="2" borderId="15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/>
    </xf>
    <xf numFmtId="3" fontId="4" fillId="2" borderId="4" xfId="0" applyNumberFormat="1" applyFont="1" applyFill="1" applyBorder="1" applyAlignment="1">
      <alignment horizontal="right" vertical="center"/>
    </xf>
    <xf numFmtId="3" fontId="18" fillId="2" borderId="4" xfId="0" applyNumberFormat="1" applyFont="1" applyFill="1" applyBorder="1" applyAlignment="1">
      <alignment horizontal="right" vertical="center"/>
    </xf>
    <xf numFmtId="0" fontId="13" fillId="2" borderId="6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3" fontId="13" fillId="4" borderId="4" xfId="0" applyNumberFormat="1" applyFont="1" applyFill="1" applyBorder="1" applyAlignment="1">
      <alignment horizontal="center" vertical="center"/>
    </xf>
    <xf numFmtId="0" fontId="4" fillId="2" borderId="2" xfId="0" quotePrefix="1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17" fillId="2" borderId="2" xfId="2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shrinkToFit="1"/>
    </xf>
    <xf numFmtId="0" fontId="9" fillId="2" borderId="0" xfId="0" applyFont="1" applyFill="1" applyAlignment="1">
      <alignment horizontal="left" vertical="center" shrinkToFi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555274</xdr:colOff>
      <xdr:row>48</xdr:row>
      <xdr:rowOff>308848</xdr:rowOff>
    </xdr:from>
    <xdr:to>
      <xdr:col>7</xdr:col>
      <xdr:colOff>441985</xdr:colOff>
      <xdr:row>50</xdr:row>
      <xdr:rowOff>99602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8308805-B3BE-F81A-C649-FF834EEA3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6029" y="7521490"/>
          <a:ext cx="586034" cy="5298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555274</xdr:colOff>
      <xdr:row>36</xdr:row>
      <xdr:rowOff>308848</xdr:rowOff>
    </xdr:from>
    <xdr:to>
      <xdr:col>7</xdr:col>
      <xdr:colOff>441010</xdr:colOff>
      <xdr:row>38</xdr:row>
      <xdr:rowOff>98629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CE70CC8-E622-431B-B766-4F32C1111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90941" y="8587025"/>
          <a:ext cx="595371" cy="526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kjh@testipie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kjh@testipi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96"/>
  <sheetViews>
    <sheetView tabSelected="1" view="pageBreakPreview" zoomScale="145" zoomScaleNormal="100" zoomScaleSheetLayoutView="145" workbookViewId="0">
      <selection activeCell="A30" sqref="A30:XFD30"/>
    </sheetView>
  </sheetViews>
  <sheetFormatPr baseColWidth="10" defaultColWidth="9" defaultRowHeight="18"/>
  <cols>
    <col min="1" max="1" width="2.1640625" style="6" customWidth="1"/>
    <col min="2" max="2" width="9.5" style="6" customWidth="1"/>
    <col min="3" max="3" width="7.1640625" style="6" customWidth="1"/>
    <col min="4" max="4" width="7.6640625" style="6" customWidth="1"/>
    <col min="5" max="5" width="12" style="6" customWidth="1"/>
    <col min="6" max="6" width="6.5" style="6" customWidth="1"/>
    <col min="7" max="7" width="9.33203125" style="6" customWidth="1"/>
    <col min="8" max="8" width="17.1640625" style="6" customWidth="1"/>
    <col min="9" max="9" width="5.5" style="6" customWidth="1"/>
    <col min="10" max="10" width="14.83203125" style="6" customWidth="1"/>
    <col min="11" max="11" width="5.1640625" style="6" customWidth="1"/>
    <col min="12" max="12" width="10.1640625" style="6" bestFit="1" customWidth="1"/>
    <col min="13" max="15" width="9" style="6"/>
    <col min="16" max="16" width="11.1640625" style="6" bestFit="1" customWidth="1"/>
    <col min="17" max="16384" width="9" style="6"/>
  </cols>
  <sheetData>
    <row r="1" spans="1:16">
      <c r="A1" s="3"/>
      <c r="B1" s="4"/>
      <c r="C1" s="4"/>
      <c r="D1" s="4"/>
      <c r="E1" s="4"/>
      <c r="F1" s="4"/>
      <c r="G1" s="4"/>
      <c r="H1" s="4"/>
      <c r="I1" s="4"/>
      <c r="J1" s="4"/>
      <c r="K1" s="5"/>
    </row>
    <row r="2" spans="1:16" s="10" customFormat="1" ht="55.5" customHeight="1">
      <c r="A2" s="7" t="s">
        <v>19</v>
      </c>
      <c r="B2" s="8"/>
      <c r="C2" s="8"/>
      <c r="D2" s="8"/>
      <c r="E2" s="8"/>
      <c r="F2" s="8"/>
      <c r="G2" s="8"/>
      <c r="H2" s="9"/>
      <c r="I2" s="9"/>
      <c r="J2" s="9"/>
      <c r="K2" s="8"/>
    </row>
    <row r="3" spans="1:16" s="14" customFormat="1" ht="15.75" customHeight="1">
      <c r="A3" s="11"/>
      <c r="B3" s="12"/>
      <c r="C3" s="12"/>
      <c r="D3" s="12"/>
      <c r="E3" s="12"/>
      <c r="F3" s="93" t="s">
        <v>18</v>
      </c>
      <c r="G3" s="93"/>
      <c r="H3" s="106" t="s">
        <v>9</v>
      </c>
      <c r="I3" s="64"/>
      <c r="J3" s="65"/>
      <c r="K3" s="13"/>
      <c r="P3" s="15"/>
    </row>
    <row r="4" spans="1:16" s="14" customFormat="1" ht="15.75" customHeight="1">
      <c r="A4" s="11"/>
      <c r="B4" s="16" t="s">
        <v>30</v>
      </c>
      <c r="C4" s="16" t="s">
        <v>40</v>
      </c>
      <c r="D4" s="16" t="s">
        <v>41</v>
      </c>
      <c r="E4" s="12"/>
      <c r="F4" s="93" t="s">
        <v>7</v>
      </c>
      <c r="G4" s="93"/>
      <c r="H4" s="103" t="s">
        <v>10</v>
      </c>
      <c r="I4" s="103"/>
      <c r="J4" s="104"/>
      <c r="K4" s="13"/>
      <c r="P4" s="15"/>
    </row>
    <row r="5" spans="1:16" s="14" customFormat="1" ht="15.75" customHeight="1">
      <c r="A5" s="11"/>
      <c r="B5" s="12"/>
      <c r="C5" s="12"/>
      <c r="D5" s="12"/>
      <c r="E5" s="12"/>
      <c r="F5" s="93" t="s">
        <v>17</v>
      </c>
      <c r="G5" s="93"/>
      <c r="H5" s="103" t="s">
        <v>8</v>
      </c>
      <c r="I5" s="103"/>
      <c r="J5" s="104"/>
      <c r="K5" s="13"/>
    </row>
    <row r="6" spans="1:16" s="14" customFormat="1" ht="40" customHeight="1">
      <c r="A6" s="11"/>
      <c r="B6" s="112" t="s">
        <v>34</v>
      </c>
      <c r="C6" s="113"/>
      <c r="D6" s="113"/>
      <c r="E6" s="113"/>
      <c r="F6" s="93" t="s">
        <v>24</v>
      </c>
      <c r="G6" s="93"/>
      <c r="H6" s="103" t="s">
        <v>14</v>
      </c>
      <c r="I6" s="103"/>
      <c r="J6" s="104"/>
      <c r="K6" s="13"/>
    </row>
    <row r="7" spans="1:16" s="14" customFormat="1" ht="15.75" customHeight="1">
      <c r="A7" s="11"/>
      <c r="B7" s="12" t="s">
        <v>20</v>
      </c>
      <c r="C7" s="17"/>
      <c r="D7" s="17"/>
      <c r="E7" s="17"/>
      <c r="F7" s="93" t="s">
        <v>16</v>
      </c>
      <c r="G7" s="93"/>
      <c r="H7" s="111" t="s">
        <v>28</v>
      </c>
      <c r="I7" s="107"/>
      <c r="J7" s="108"/>
      <c r="K7" s="18"/>
    </row>
    <row r="8" spans="1:16" s="14" customFormat="1" ht="15.75" customHeight="1">
      <c r="A8" s="11"/>
      <c r="C8" s="19"/>
      <c r="D8" s="20"/>
      <c r="E8" s="12"/>
      <c r="F8" s="93" t="s">
        <v>15</v>
      </c>
      <c r="G8" s="93"/>
      <c r="H8" s="107" t="s">
        <v>11</v>
      </c>
      <c r="I8" s="107"/>
      <c r="J8" s="108"/>
      <c r="K8" s="18"/>
    </row>
    <row r="9" spans="1:16" s="14" customFormat="1" ht="20" customHeight="1">
      <c r="A9" s="11"/>
      <c r="B9" s="12"/>
      <c r="C9" s="19"/>
      <c r="D9" s="20"/>
      <c r="E9" s="12"/>
      <c r="F9" s="21"/>
      <c r="G9" s="19"/>
      <c r="H9" s="22"/>
      <c r="I9" s="22"/>
      <c r="J9" s="22"/>
      <c r="K9" s="18"/>
    </row>
    <row r="10" spans="1:16" s="14" customFormat="1" ht="22" customHeight="1" thickBot="1">
      <c r="A10" s="11"/>
      <c r="B10" s="110"/>
      <c r="C10" s="110"/>
      <c r="D10" s="110"/>
      <c r="E10" s="24"/>
      <c r="F10" s="24"/>
      <c r="G10" s="25" t="s">
        <v>1</v>
      </c>
      <c r="H10" s="95">
        <f>H45</f>
        <v>19800000</v>
      </c>
      <c r="I10" s="95"/>
      <c r="J10" s="26" t="s">
        <v>2</v>
      </c>
      <c r="K10" s="18"/>
    </row>
    <row r="11" spans="1:16" s="14" customFormat="1" ht="22" customHeight="1">
      <c r="A11" s="11"/>
      <c r="B11" s="23"/>
      <c r="C11" s="23"/>
      <c r="D11" s="23"/>
      <c r="E11" s="24"/>
      <c r="F11" s="24"/>
      <c r="G11" s="24"/>
      <c r="H11" s="27"/>
      <c r="I11" s="27"/>
      <c r="J11" s="28"/>
      <c r="K11" s="18"/>
    </row>
    <row r="12" spans="1:16" s="14" customFormat="1" ht="22" customHeight="1">
      <c r="A12" s="11"/>
      <c r="B12" s="109" t="s">
        <v>44</v>
      </c>
      <c r="C12" s="109"/>
      <c r="D12" s="109"/>
      <c r="E12" s="109"/>
      <c r="F12" s="109"/>
      <c r="G12" s="109"/>
      <c r="H12" s="109"/>
      <c r="I12" s="109"/>
      <c r="J12" s="109"/>
      <c r="K12" s="18"/>
    </row>
    <row r="13" spans="1:16" s="14" customFormat="1" ht="22" customHeight="1">
      <c r="A13" s="11"/>
      <c r="B13" s="94"/>
      <c r="C13" s="94"/>
      <c r="D13" s="94"/>
      <c r="E13" s="94"/>
      <c r="F13" s="94"/>
      <c r="G13" s="94"/>
      <c r="H13" s="94"/>
      <c r="I13" s="29"/>
      <c r="J13" s="30"/>
      <c r="K13" s="31"/>
    </row>
    <row r="14" spans="1:16" s="14" customFormat="1" ht="17.25" customHeight="1">
      <c r="A14" s="97" t="s">
        <v>3</v>
      </c>
      <c r="B14" s="97"/>
      <c r="C14" s="97"/>
      <c r="D14" s="97"/>
      <c r="E14" s="32" t="s">
        <v>4</v>
      </c>
      <c r="F14" s="57" t="s">
        <v>26</v>
      </c>
      <c r="G14" s="57" t="s">
        <v>27</v>
      </c>
      <c r="H14" s="105" t="s">
        <v>21</v>
      </c>
      <c r="I14" s="105"/>
      <c r="J14" s="105" t="s">
        <v>0</v>
      </c>
      <c r="K14" s="105"/>
    </row>
    <row r="15" spans="1:16" s="14" customFormat="1" ht="17.25" customHeight="1">
      <c r="A15" s="100" t="s">
        <v>31</v>
      </c>
      <c r="B15" s="101"/>
      <c r="C15" s="101"/>
      <c r="D15" s="102"/>
      <c r="E15" s="33"/>
      <c r="F15" s="34"/>
      <c r="G15" s="35"/>
      <c r="H15" s="99">
        <f>SUM(H16:I20)</f>
        <v>9000000</v>
      </c>
      <c r="I15" s="99"/>
      <c r="J15" s="68"/>
      <c r="K15" s="69"/>
    </row>
    <row r="16" spans="1:16" s="14" customFormat="1" ht="17.25" customHeight="1">
      <c r="A16" s="63" t="s">
        <v>32</v>
      </c>
      <c r="B16" s="64"/>
      <c r="C16" s="64"/>
      <c r="D16" s="65"/>
      <c r="E16" s="33">
        <v>500000</v>
      </c>
      <c r="F16" s="34">
        <v>1</v>
      </c>
      <c r="G16" s="35">
        <v>1</v>
      </c>
      <c r="H16" s="98">
        <f>E16</f>
        <v>500000</v>
      </c>
      <c r="I16" s="98"/>
      <c r="J16" s="36"/>
      <c r="K16" s="37"/>
    </row>
    <row r="17" spans="1:11" s="14" customFormat="1" ht="17.25" customHeight="1">
      <c r="A17" s="63" t="s">
        <v>38</v>
      </c>
      <c r="B17" s="64"/>
      <c r="C17" s="64"/>
      <c r="D17" s="65"/>
      <c r="E17" s="33">
        <v>2000000</v>
      </c>
      <c r="F17" s="34">
        <v>1</v>
      </c>
      <c r="G17" s="35">
        <v>2</v>
      </c>
      <c r="H17" s="98">
        <f>E17*F17*G17</f>
        <v>4000000</v>
      </c>
      <c r="I17" s="98"/>
      <c r="J17" s="36"/>
      <c r="K17" s="37"/>
    </row>
    <row r="18" spans="1:11" s="14" customFormat="1" ht="17.25" customHeight="1">
      <c r="A18" s="96" t="s">
        <v>42</v>
      </c>
      <c r="B18" s="64"/>
      <c r="C18" s="64"/>
      <c r="D18" s="65"/>
      <c r="E18" s="33">
        <v>2000000</v>
      </c>
      <c r="F18" s="34">
        <v>1</v>
      </c>
      <c r="G18" s="35">
        <v>1</v>
      </c>
      <c r="H18" s="98">
        <f>E18*F18*G18</f>
        <v>2000000</v>
      </c>
      <c r="I18" s="98"/>
      <c r="J18" s="36"/>
      <c r="K18" s="37"/>
    </row>
    <row r="19" spans="1:11" s="14" customFormat="1" ht="27" customHeight="1">
      <c r="A19" s="96" t="s">
        <v>43</v>
      </c>
      <c r="B19" s="64"/>
      <c r="C19" s="64"/>
      <c r="D19" s="65"/>
      <c r="E19" s="33">
        <v>2000000</v>
      </c>
      <c r="F19" s="34">
        <v>1</v>
      </c>
      <c r="G19" s="35">
        <v>1</v>
      </c>
      <c r="H19" s="98">
        <f>E19*F19*G19</f>
        <v>2000000</v>
      </c>
      <c r="I19" s="98"/>
      <c r="J19" s="36"/>
      <c r="K19" s="37"/>
    </row>
    <row r="20" spans="1:11" s="14" customFormat="1" ht="17.25" customHeight="1">
      <c r="A20" s="63" t="s">
        <v>33</v>
      </c>
      <c r="B20" s="64"/>
      <c r="C20" s="64"/>
      <c r="D20" s="65"/>
      <c r="E20" s="33">
        <v>700000</v>
      </c>
      <c r="F20" s="34">
        <v>1</v>
      </c>
      <c r="G20" s="35">
        <v>1</v>
      </c>
      <c r="H20" s="98">
        <v>500000</v>
      </c>
      <c r="I20" s="98"/>
      <c r="J20" s="68"/>
      <c r="K20" s="69"/>
    </row>
    <row r="21" spans="1:11" s="14" customFormat="1" ht="17.25" customHeight="1">
      <c r="A21" s="100" t="s">
        <v>35</v>
      </c>
      <c r="B21" s="101"/>
      <c r="C21" s="101"/>
      <c r="D21" s="102"/>
      <c r="E21" s="33"/>
      <c r="F21" s="34"/>
      <c r="G21" s="35"/>
      <c r="H21" s="99">
        <f>SUM(H22:I42)</f>
        <v>9000000</v>
      </c>
      <c r="I21" s="99"/>
      <c r="J21" s="68"/>
      <c r="K21" s="69"/>
    </row>
    <row r="22" spans="1:11" s="14" customFormat="1" ht="17.25" customHeight="1">
      <c r="A22" s="63" t="s">
        <v>36</v>
      </c>
      <c r="B22" s="64"/>
      <c r="C22" s="64"/>
      <c r="D22" s="65"/>
      <c r="E22" s="33">
        <v>500000</v>
      </c>
      <c r="F22" s="34">
        <v>1</v>
      </c>
      <c r="G22" s="35">
        <v>1</v>
      </c>
      <c r="H22" s="98">
        <f>E22</f>
        <v>500000</v>
      </c>
      <c r="I22" s="98"/>
      <c r="J22" s="36"/>
      <c r="K22" s="37"/>
    </row>
    <row r="23" spans="1:11" s="14" customFormat="1" ht="30.5" customHeight="1">
      <c r="A23" s="96" t="s">
        <v>39</v>
      </c>
      <c r="B23" s="64"/>
      <c r="C23" s="64"/>
      <c r="D23" s="65"/>
      <c r="E23" s="33">
        <v>4000000</v>
      </c>
      <c r="F23" s="34">
        <v>1</v>
      </c>
      <c r="G23" s="35">
        <v>1</v>
      </c>
      <c r="H23" s="98">
        <f t="shared" ref="H23" si="0">E23</f>
        <v>4000000</v>
      </c>
      <c r="I23" s="98"/>
      <c r="J23" s="36"/>
      <c r="K23" s="37"/>
    </row>
    <row r="24" spans="1:11" s="14" customFormat="1" ht="17.25" customHeight="1">
      <c r="A24" s="63" t="s">
        <v>37</v>
      </c>
      <c r="B24" s="64"/>
      <c r="C24" s="64"/>
      <c r="D24" s="65"/>
      <c r="E24" s="33">
        <v>3500000</v>
      </c>
      <c r="F24" s="34">
        <v>1</v>
      </c>
      <c r="G24" s="35">
        <v>1</v>
      </c>
      <c r="H24" s="98">
        <f>E24*F24*G24</f>
        <v>3500000</v>
      </c>
      <c r="I24" s="98"/>
      <c r="J24" s="36"/>
      <c r="K24" s="37"/>
    </row>
    <row r="25" spans="1:11" s="14" customFormat="1" ht="17.25" customHeight="1">
      <c r="A25" s="63" t="s">
        <v>33</v>
      </c>
      <c r="B25" s="64"/>
      <c r="C25" s="64"/>
      <c r="D25" s="65"/>
      <c r="E25" s="33">
        <v>1000000</v>
      </c>
      <c r="F25" s="34">
        <v>1</v>
      </c>
      <c r="G25" s="35">
        <v>1</v>
      </c>
      <c r="H25" s="98">
        <f t="shared" ref="H25" si="1">E25</f>
        <v>1000000</v>
      </c>
      <c r="I25" s="98"/>
      <c r="J25" s="68"/>
      <c r="K25" s="69"/>
    </row>
    <row r="26" spans="1:11" s="14" customFormat="1" ht="17.25" customHeight="1">
      <c r="A26" s="58"/>
      <c r="B26" s="59"/>
      <c r="C26" s="59"/>
      <c r="D26" s="60"/>
      <c r="E26" s="33"/>
      <c r="F26" s="34"/>
      <c r="G26" s="35"/>
      <c r="H26" s="39"/>
      <c r="I26" s="62"/>
      <c r="J26" s="36"/>
      <c r="K26" s="37"/>
    </row>
    <row r="27" spans="1:11" s="14" customFormat="1" ht="17.25" customHeight="1">
      <c r="A27" s="63"/>
      <c r="B27" s="64"/>
      <c r="C27" s="64"/>
      <c r="D27" s="65"/>
      <c r="E27" s="33"/>
      <c r="F27" s="34"/>
      <c r="G27" s="35"/>
      <c r="H27" s="66"/>
      <c r="I27" s="67"/>
      <c r="J27" s="68"/>
      <c r="K27" s="69"/>
    </row>
    <row r="28" spans="1:11" s="14" customFormat="1" ht="17.25" customHeight="1">
      <c r="A28" s="58"/>
      <c r="B28" s="59"/>
      <c r="C28" s="59"/>
      <c r="D28" s="60"/>
      <c r="E28" s="33"/>
      <c r="F28" s="34"/>
      <c r="G28" s="35"/>
      <c r="H28" s="39"/>
      <c r="I28" s="62"/>
      <c r="J28" s="36"/>
      <c r="K28" s="37"/>
    </row>
    <row r="29" spans="1:11" s="14" customFormat="1" ht="17.25" customHeight="1">
      <c r="A29" s="58"/>
      <c r="B29" s="59"/>
      <c r="C29" s="59"/>
      <c r="D29" s="60"/>
      <c r="E29" s="33"/>
      <c r="F29" s="34"/>
      <c r="G29" s="35"/>
      <c r="H29" s="39"/>
      <c r="I29" s="62"/>
      <c r="J29" s="36"/>
      <c r="K29" s="37"/>
    </row>
    <row r="30" spans="1:11" s="14" customFormat="1" ht="17.25" customHeight="1">
      <c r="A30" s="58"/>
      <c r="B30" s="59"/>
      <c r="C30" s="59"/>
      <c r="D30" s="60"/>
      <c r="E30" s="33"/>
      <c r="F30" s="34"/>
      <c r="G30" s="35"/>
      <c r="H30" s="39"/>
      <c r="I30" s="62"/>
      <c r="J30" s="36"/>
      <c r="K30" s="37"/>
    </row>
    <row r="31" spans="1:11" s="14" customFormat="1" ht="17.25" customHeight="1">
      <c r="A31" s="58"/>
      <c r="B31" s="59"/>
      <c r="C31" s="59"/>
      <c r="D31" s="60"/>
      <c r="E31" s="33"/>
      <c r="F31" s="34"/>
      <c r="G31" s="35"/>
      <c r="H31" s="39"/>
      <c r="I31" s="62"/>
      <c r="J31" s="36"/>
      <c r="K31" s="37"/>
    </row>
    <row r="32" spans="1:11" s="14" customFormat="1" ht="17.25" customHeight="1">
      <c r="A32" s="58"/>
      <c r="B32" s="59"/>
      <c r="C32" s="59"/>
      <c r="D32" s="60"/>
      <c r="E32" s="33"/>
      <c r="F32" s="34"/>
      <c r="G32" s="35"/>
      <c r="H32" s="39"/>
      <c r="I32" s="62"/>
      <c r="J32" s="36"/>
      <c r="K32" s="37"/>
    </row>
    <row r="33" spans="1:21" s="14" customFormat="1" ht="17.25" customHeight="1">
      <c r="A33" s="58"/>
      <c r="B33" s="59"/>
      <c r="C33" s="59"/>
      <c r="D33" s="60"/>
      <c r="E33" s="33"/>
      <c r="F33" s="34"/>
      <c r="G33" s="35"/>
      <c r="H33" s="39"/>
      <c r="I33" s="62"/>
      <c r="J33" s="36"/>
      <c r="K33" s="37"/>
    </row>
    <row r="34" spans="1:21" s="14" customFormat="1" ht="17.25" customHeight="1">
      <c r="A34" s="58"/>
      <c r="B34" s="59"/>
      <c r="C34" s="59"/>
      <c r="D34" s="60"/>
      <c r="E34" s="33"/>
      <c r="F34" s="34"/>
      <c r="G34" s="35"/>
      <c r="H34" s="39"/>
      <c r="I34" s="62"/>
      <c r="J34" s="36"/>
      <c r="K34" s="37"/>
    </row>
    <row r="35" spans="1:21" s="14" customFormat="1" ht="17.25" customHeight="1">
      <c r="A35" s="58"/>
      <c r="B35" s="59"/>
      <c r="C35" s="59"/>
      <c r="D35" s="60"/>
      <c r="E35" s="33"/>
      <c r="F35" s="34"/>
      <c r="G35" s="35"/>
      <c r="H35" s="39"/>
      <c r="I35" s="62"/>
      <c r="J35" s="36"/>
      <c r="K35" s="37"/>
    </row>
    <row r="36" spans="1:21" s="14" customFormat="1" ht="17.25" customHeight="1">
      <c r="A36" s="58"/>
      <c r="B36" s="59"/>
      <c r="C36" s="59"/>
      <c r="D36" s="60"/>
      <c r="E36" s="33"/>
      <c r="F36" s="34"/>
      <c r="G36" s="35"/>
      <c r="H36" s="39"/>
      <c r="I36" s="62"/>
      <c r="J36" s="36"/>
      <c r="K36" s="37"/>
    </row>
    <row r="37" spans="1:21" s="14" customFormat="1" ht="17.25" customHeight="1">
      <c r="A37" s="58"/>
      <c r="B37" s="59"/>
      <c r="C37" s="59"/>
      <c r="D37" s="60"/>
      <c r="E37" s="33"/>
      <c r="F37" s="34"/>
      <c r="G37" s="35"/>
      <c r="H37" s="39"/>
      <c r="I37" s="62"/>
      <c r="J37" s="36"/>
      <c r="K37" s="37"/>
    </row>
    <row r="38" spans="1:21" s="14" customFormat="1" ht="17.25" customHeight="1">
      <c r="A38" s="58"/>
      <c r="B38" s="59"/>
      <c r="C38" s="59"/>
      <c r="D38" s="60"/>
      <c r="E38" s="33"/>
      <c r="F38" s="34"/>
      <c r="G38" s="35"/>
      <c r="H38" s="39"/>
      <c r="I38" s="62"/>
      <c r="J38" s="36"/>
      <c r="K38" s="37"/>
    </row>
    <row r="39" spans="1:21" s="14" customFormat="1" ht="17.25" customHeight="1">
      <c r="A39" s="58"/>
      <c r="B39" s="59"/>
      <c r="C39" s="59"/>
      <c r="D39" s="60"/>
      <c r="E39" s="33"/>
      <c r="F39" s="34"/>
      <c r="G39" s="35"/>
      <c r="H39" s="39"/>
      <c r="I39" s="62"/>
      <c r="J39" s="36"/>
      <c r="K39" s="37"/>
    </row>
    <row r="40" spans="1:21" s="14" customFormat="1" ht="17.25" customHeight="1">
      <c r="A40" s="58"/>
      <c r="B40" s="59"/>
      <c r="C40" s="59"/>
      <c r="D40" s="60"/>
      <c r="E40" s="33"/>
      <c r="F40" s="34"/>
      <c r="G40" s="35"/>
      <c r="H40" s="39"/>
      <c r="I40" s="62"/>
      <c r="J40" s="36"/>
      <c r="K40" s="37"/>
    </row>
    <row r="41" spans="1:21" s="14" customFormat="1" ht="17.25" customHeight="1">
      <c r="A41" s="58"/>
      <c r="B41" s="59"/>
      <c r="C41" s="59"/>
      <c r="D41" s="60"/>
      <c r="E41" s="33"/>
      <c r="F41" s="34"/>
      <c r="G41" s="35"/>
      <c r="H41" s="39"/>
      <c r="I41" s="62"/>
      <c r="J41" s="36"/>
      <c r="K41" s="37"/>
    </row>
    <row r="42" spans="1:21" s="14" customFormat="1" ht="17.25" customHeight="1">
      <c r="A42" s="63"/>
      <c r="B42" s="64"/>
      <c r="C42" s="64"/>
      <c r="D42" s="65"/>
      <c r="E42" s="33"/>
      <c r="F42" s="34"/>
      <c r="G42" s="35"/>
      <c r="H42" s="66"/>
      <c r="I42" s="67"/>
      <c r="J42" s="68"/>
      <c r="K42" s="69"/>
    </row>
    <row r="43" spans="1:21" s="14" customFormat="1" ht="17.25" customHeight="1">
      <c r="A43" s="76" t="s">
        <v>25</v>
      </c>
      <c r="B43" s="76"/>
      <c r="C43" s="76"/>
      <c r="D43" s="76"/>
      <c r="E43" s="76"/>
      <c r="F43" s="76"/>
      <c r="G43" s="76"/>
      <c r="H43" s="75">
        <f>H15+H21</f>
        <v>18000000</v>
      </c>
      <c r="I43" s="75"/>
      <c r="J43" s="91"/>
      <c r="K43" s="92"/>
      <c r="L43" s="15"/>
      <c r="U43" s="38"/>
    </row>
    <row r="44" spans="1:21" s="14" customFormat="1" ht="17.25" customHeight="1">
      <c r="A44" s="88" t="s">
        <v>22</v>
      </c>
      <c r="B44" s="89"/>
      <c r="C44" s="89"/>
      <c r="D44" s="89"/>
      <c r="E44" s="89"/>
      <c r="F44" s="89"/>
      <c r="G44" s="90"/>
      <c r="H44" s="73">
        <f>H43*0.1</f>
        <v>1800000</v>
      </c>
      <c r="I44" s="74"/>
      <c r="J44" s="39"/>
      <c r="K44" s="40"/>
      <c r="L44" s="15"/>
      <c r="P44" s="41"/>
    </row>
    <row r="45" spans="1:21" s="14" customFormat="1" ht="22" customHeight="1">
      <c r="A45" s="77" t="s">
        <v>5</v>
      </c>
      <c r="B45" s="78"/>
      <c r="C45" s="78"/>
      <c r="D45" s="78"/>
      <c r="E45" s="78"/>
      <c r="F45" s="78"/>
      <c r="G45" s="78"/>
      <c r="H45" s="71">
        <f>SUM(H44,H43)</f>
        <v>19800000</v>
      </c>
      <c r="I45" s="72"/>
      <c r="J45" s="42"/>
      <c r="K45" s="43"/>
    </row>
    <row r="46" spans="1:21" s="14" customFormat="1" ht="22" customHeight="1">
      <c r="A46" s="79" t="s">
        <v>6</v>
      </c>
      <c r="B46" s="80"/>
      <c r="C46" s="81"/>
      <c r="D46" s="1" t="s">
        <v>29</v>
      </c>
      <c r="E46" s="44"/>
      <c r="F46" s="45"/>
      <c r="G46" s="45"/>
      <c r="H46" s="46"/>
      <c r="I46" s="46"/>
      <c r="J46" s="46"/>
      <c r="K46" s="47"/>
    </row>
    <row r="47" spans="1:21" s="14" customFormat="1" ht="22" customHeight="1">
      <c r="A47" s="82"/>
      <c r="B47" s="83"/>
      <c r="C47" s="84"/>
      <c r="D47" s="1" t="s">
        <v>12</v>
      </c>
      <c r="E47" s="44"/>
      <c r="F47" s="45"/>
      <c r="G47" s="45"/>
      <c r="H47" s="44"/>
      <c r="I47" s="44"/>
      <c r="J47" s="44"/>
      <c r="K47" s="18"/>
    </row>
    <row r="48" spans="1:21" s="14" customFormat="1" ht="22" customHeight="1">
      <c r="A48" s="85"/>
      <c r="B48" s="86"/>
      <c r="C48" s="87"/>
      <c r="D48" s="2" t="s">
        <v>13</v>
      </c>
      <c r="E48" s="50"/>
      <c r="F48" s="50"/>
      <c r="G48" s="50"/>
      <c r="H48" s="50"/>
      <c r="I48" s="50"/>
      <c r="J48" s="50"/>
      <c r="K48" s="31"/>
    </row>
    <row r="49" spans="1:11" s="14" customFormat="1" ht="30.75" customHeight="1">
      <c r="A49" s="11"/>
      <c r="B49" s="48"/>
      <c r="C49" s="48"/>
      <c r="D49" s="51"/>
      <c r="E49" s="44"/>
      <c r="F49" s="45"/>
      <c r="G49" s="45"/>
      <c r="H49" s="44"/>
      <c r="I49" s="44"/>
      <c r="J49" s="44"/>
      <c r="K49" s="18"/>
    </row>
    <row r="50" spans="1:11" s="14" customFormat="1" ht="28" customHeight="1">
      <c r="A50" s="11"/>
      <c r="B50" s="48"/>
      <c r="C50" s="48"/>
      <c r="E50" s="70" t="s">
        <v>9</v>
      </c>
      <c r="F50" s="70"/>
      <c r="G50" s="70"/>
      <c r="H50" s="52" t="s">
        <v>23</v>
      </c>
      <c r="I50" s="52"/>
      <c r="J50" s="52"/>
      <c r="K50" s="18"/>
    </row>
    <row r="51" spans="1:11" s="14" customFormat="1" ht="30.75" customHeight="1">
      <c r="A51" s="53"/>
      <c r="B51" s="49"/>
      <c r="C51" s="49"/>
      <c r="D51" s="54"/>
      <c r="E51" s="54"/>
      <c r="F51" s="55"/>
      <c r="G51" s="55"/>
      <c r="H51" s="54"/>
      <c r="I51" s="54"/>
      <c r="J51" s="54"/>
      <c r="K51" s="31"/>
    </row>
    <row r="52" spans="1:11" s="14" customFormat="1" ht="20" customHeight="1"/>
    <row r="53" spans="1:11" s="14" customFormat="1" ht="20" customHeight="1"/>
    <row r="54" spans="1:11" s="14" customFormat="1" ht="20" customHeight="1"/>
    <row r="55" spans="1:11" s="14" customFormat="1" ht="25.5" customHeight="1"/>
    <row r="56" spans="1:11" s="14" customFormat="1" ht="27.75" customHeight="1"/>
    <row r="57" spans="1:11" s="14" customFormat="1" ht="15">
      <c r="E57" s="56"/>
      <c r="H57" s="15"/>
      <c r="I57" s="15"/>
      <c r="J57" s="15"/>
    </row>
    <row r="58" spans="1:11" s="14" customFormat="1" ht="15">
      <c r="E58" s="56"/>
      <c r="H58" s="15"/>
      <c r="I58" s="15"/>
      <c r="J58" s="15"/>
    </row>
    <row r="59" spans="1:11" s="14" customFormat="1" ht="15">
      <c r="E59" s="56"/>
      <c r="H59" s="15"/>
      <c r="I59" s="15"/>
      <c r="J59" s="15"/>
    </row>
    <row r="60" spans="1:11" s="14" customFormat="1" ht="15">
      <c r="E60" s="56"/>
      <c r="H60" s="15"/>
      <c r="I60" s="15"/>
      <c r="J60" s="15"/>
    </row>
    <row r="61" spans="1:11" s="14" customFormat="1" ht="15">
      <c r="E61" s="56"/>
      <c r="H61" s="15"/>
      <c r="I61" s="15"/>
      <c r="J61" s="15"/>
    </row>
    <row r="62" spans="1:11" s="14" customFormat="1" ht="15">
      <c r="E62" s="56"/>
      <c r="H62" s="15"/>
      <c r="I62" s="15"/>
      <c r="J62" s="15"/>
    </row>
    <row r="63" spans="1:11" s="14" customFormat="1" ht="15">
      <c r="E63" s="56"/>
      <c r="H63" s="15"/>
      <c r="I63" s="15"/>
      <c r="J63" s="15"/>
    </row>
    <row r="64" spans="1:11" s="14" customFormat="1" ht="15">
      <c r="E64" s="56"/>
      <c r="H64" s="15"/>
      <c r="I64" s="15"/>
      <c r="J64" s="15"/>
    </row>
    <row r="65" spans="5:10" s="14" customFormat="1" ht="15">
      <c r="E65" s="56"/>
      <c r="H65" s="15"/>
      <c r="I65" s="15"/>
      <c r="J65" s="15"/>
    </row>
    <row r="66" spans="5:10" s="14" customFormat="1" ht="15">
      <c r="E66" s="56"/>
      <c r="H66" s="15"/>
      <c r="I66" s="15"/>
      <c r="J66" s="15"/>
    </row>
    <row r="67" spans="5:10" s="14" customFormat="1" ht="15">
      <c r="E67" s="56"/>
      <c r="H67" s="15"/>
      <c r="I67" s="15"/>
      <c r="J67" s="15"/>
    </row>
    <row r="68" spans="5:10" s="14" customFormat="1" ht="15">
      <c r="E68" s="56"/>
      <c r="H68" s="15"/>
      <c r="I68" s="15"/>
      <c r="J68" s="15"/>
    </row>
    <row r="69" spans="5:10" s="14" customFormat="1" ht="15">
      <c r="E69" s="56"/>
      <c r="H69" s="15"/>
      <c r="I69" s="15"/>
      <c r="J69" s="15"/>
    </row>
    <row r="70" spans="5:10" s="14" customFormat="1" ht="15">
      <c r="E70" s="56"/>
      <c r="H70" s="15"/>
      <c r="I70" s="15"/>
      <c r="J70" s="15"/>
    </row>
    <row r="71" spans="5:10" s="14" customFormat="1" ht="15">
      <c r="E71" s="56"/>
      <c r="H71" s="15"/>
      <c r="I71" s="15"/>
      <c r="J71" s="15"/>
    </row>
    <row r="72" spans="5:10" s="14" customFormat="1" ht="15">
      <c r="E72" s="56"/>
      <c r="H72" s="15"/>
      <c r="I72" s="15"/>
      <c r="J72" s="15"/>
    </row>
    <row r="73" spans="5:10" s="14" customFormat="1" ht="15">
      <c r="E73" s="56"/>
      <c r="H73" s="15"/>
      <c r="I73" s="15"/>
      <c r="J73" s="15"/>
    </row>
    <row r="74" spans="5:10" s="14" customFormat="1" ht="15">
      <c r="E74" s="56"/>
      <c r="H74" s="15"/>
      <c r="I74" s="15"/>
      <c r="J74" s="15"/>
    </row>
    <row r="75" spans="5:10" s="14" customFormat="1" ht="15">
      <c r="E75" s="56"/>
      <c r="H75" s="15"/>
      <c r="I75" s="15"/>
      <c r="J75" s="15"/>
    </row>
    <row r="76" spans="5:10" s="14" customFormat="1" ht="15">
      <c r="E76" s="56"/>
      <c r="H76" s="15"/>
      <c r="I76" s="15"/>
      <c r="J76" s="15"/>
    </row>
    <row r="77" spans="5:10" s="14" customFormat="1" ht="15">
      <c r="E77" s="56"/>
      <c r="H77" s="15"/>
      <c r="I77" s="15"/>
      <c r="J77" s="15"/>
    </row>
    <row r="78" spans="5:10" s="14" customFormat="1" ht="15">
      <c r="E78" s="56"/>
      <c r="H78" s="15"/>
      <c r="I78" s="15"/>
      <c r="J78" s="15"/>
    </row>
    <row r="79" spans="5:10" s="14" customFormat="1" ht="15">
      <c r="E79" s="56"/>
      <c r="H79" s="15"/>
      <c r="I79" s="15"/>
      <c r="J79" s="15"/>
    </row>
    <row r="80" spans="5:10" s="14" customFormat="1" ht="15">
      <c r="E80" s="56"/>
      <c r="H80" s="15"/>
      <c r="I80" s="15"/>
      <c r="J80" s="15"/>
    </row>
    <row r="81" spans="5:10" s="14" customFormat="1" ht="15">
      <c r="E81" s="56"/>
      <c r="H81" s="15"/>
      <c r="I81" s="15"/>
      <c r="J81" s="15"/>
    </row>
    <row r="82" spans="5:10" s="14" customFormat="1" ht="15">
      <c r="E82" s="56"/>
      <c r="H82" s="15"/>
      <c r="I82" s="15"/>
      <c r="J82" s="15"/>
    </row>
    <row r="83" spans="5:10" s="14" customFormat="1" ht="15">
      <c r="E83" s="56"/>
      <c r="H83" s="15"/>
      <c r="I83" s="15"/>
      <c r="J83" s="15"/>
    </row>
    <row r="84" spans="5:10" s="14" customFormat="1" ht="15">
      <c r="E84" s="56"/>
      <c r="H84" s="15"/>
      <c r="I84" s="15"/>
      <c r="J84" s="15"/>
    </row>
    <row r="85" spans="5:10" s="14" customFormat="1" ht="15">
      <c r="E85" s="56"/>
      <c r="H85" s="15"/>
      <c r="I85" s="15"/>
      <c r="J85" s="15"/>
    </row>
    <row r="86" spans="5:10" s="14" customFormat="1" ht="15">
      <c r="E86" s="56"/>
      <c r="H86" s="15"/>
      <c r="I86" s="15"/>
      <c r="J86" s="15"/>
    </row>
    <row r="87" spans="5:10" s="14" customFormat="1" ht="15">
      <c r="E87" s="56"/>
      <c r="H87" s="15"/>
      <c r="I87" s="15"/>
      <c r="J87" s="15"/>
    </row>
    <row r="88" spans="5:10" s="14" customFormat="1" ht="15">
      <c r="E88" s="56"/>
      <c r="H88" s="15"/>
      <c r="I88" s="15"/>
      <c r="J88" s="15"/>
    </row>
    <row r="89" spans="5:10" s="14" customFormat="1" ht="15">
      <c r="E89" s="56"/>
      <c r="H89" s="15"/>
      <c r="I89" s="15"/>
      <c r="J89" s="15"/>
    </row>
    <row r="90" spans="5:10" s="14" customFormat="1" ht="15">
      <c r="E90" s="56"/>
      <c r="H90" s="15"/>
      <c r="I90" s="15"/>
      <c r="J90" s="15"/>
    </row>
    <row r="91" spans="5:10" s="14" customFormat="1" ht="15">
      <c r="E91" s="56"/>
      <c r="H91" s="15"/>
      <c r="I91" s="15"/>
      <c r="J91" s="15"/>
    </row>
    <row r="92" spans="5:10" s="14" customFormat="1" ht="15">
      <c r="E92" s="56"/>
      <c r="H92" s="15"/>
      <c r="I92" s="15"/>
      <c r="J92" s="15"/>
    </row>
    <row r="93" spans="5:10" s="14" customFormat="1" ht="15">
      <c r="E93" s="56"/>
      <c r="H93" s="15"/>
      <c r="I93" s="15"/>
      <c r="J93" s="15"/>
    </row>
    <row r="94" spans="5:10" s="14" customFormat="1" ht="15">
      <c r="E94" s="56"/>
      <c r="H94" s="15"/>
      <c r="I94" s="15"/>
      <c r="J94" s="15"/>
    </row>
    <row r="95" spans="5:10" s="14" customFormat="1" ht="15">
      <c r="E95" s="56"/>
      <c r="H95" s="15"/>
      <c r="I95" s="15"/>
      <c r="J95" s="15"/>
    </row>
    <row r="96" spans="5:10" s="14" customFormat="1" ht="15">
      <c r="E96" s="56"/>
      <c r="H96" s="15"/>
      <c r="I96" s="15"/>
      <c r="J96" s="15"/>
    </row>
    <row r="97" spans="5:10" s="14" customFormat="1" ht="15">
      <c r="E97" s="56"/>
      <c r="H97" s="15"/>
      <c r="I97" s="15"/>
      <c r="J97" s="15"/>
    </row>
    <row r="98" spans="5:10" s="14" customFormat="1" ht="15">
      <c r="E98" s="56"/>
      <c r="H98" s="15"/>
      <c r="I98" s="15"/>
      <c r="J98" s="15"/>
    </row>
    <row r="99" spans="5:10" s="14" customFormat="1" ht="15">
      <c r="E99" s="56"/>
      <c r="H99" s="15"/>
      <c r="I99" s="15"/>
      <c r="J99" s="15"/>
    </row>
    <row r="100" spans="5:10" s="14" customFormat="1" ht="15">
      <c r="E100" s="56"/>
      <c r="H100" s="15"/>
      <c r="I100" s="15"/>
      <c r="J100" s="15"/>
    </row>
    <row r="101" spans="5:10" s="14" customFormat="1" ht="15">
      <c r="E101" s="56"/>
      <c r="H101" s="15"/>
      <c r="I101" s="15"/>
      <c r="J101" s="15"/>
    </row>
    <row r="102" spans="5:10" s="14" customFormat="1" ht="15">
      <c r="E102" s="56"/>
      <c r="H102" s="15"/>
      <c r="I102" s="15"/>
      <c r="J102" s="15"/>
    </row>
    <row r="103" spans="5:10" s="14" customFormat="1" ht="15">
      <c r="E103" s="56"/>
      <c r="H103" s="15"/>
      <c r="I103" s="15"/>
      <c r="J103" s="15"/>
    </row>
    <row r="104" spans="5:10" s="14" customFormat="1" ht="15">
      <c r="E104" s="56"/>
      <c r="H104" s="15"/>
      <c r="I104" s="15"/>
      <c r="J104" s="15"/>
    </row>
    <row r="105" spans="5:10" s="14" customFormat="1" ht="15">
      <c r="E105" s="56"/>
      <c r="H105" s="15"/>
      <c r="I105" s="15"/>
      <c r="J105" s="15"/>
    </row>
    <row r="106" spans="5:10" s="14" customFormat="1" ht="15">
      <c r="E106" s="56"/>
      <c r="H106" s="15"/>
      <c r="I106" s="15"/>
      <c r="J106" s="15"/>
    </row>
    <row r="107" spans="5:10" s="14" customFormat="1" ht="15">
      <c r="E107" s="56"/>
      <c r="H107" s="15"/>
      <c r="I107" s="15"/>
      <c r="J107" s="15"/>
    </row>
    <row r="108" spans="5:10" s="14" customFormat="1" ht="15">
      <c r="E108" s="56"/>
      <c r="H108" s="15"/>
      <c r="I108" s="15"/>
      <c r="J108" s="15"/>
    </row>
    <row r="109" spans="5:10" s="14" customFormat="1" ht="15">
      <c r="E109" s="56"/>
      <c r="H109" s="15"/>
      <c r="I109" s="15"/>
      <c r="J109" s="15"/>
    </row>
    <row r="110" spans="5:10" s="14" customFormat="1" ht="15">
      <c r="E110" s="56"/>
      <c r="H110" s="15"/>
      <c r="I110" s="15"/>
      <c r="J110" s="15"/>
    </row>
    <row r="111" spans="5:10" s="14" customFormat="1" ht="15">
      <c r="E111" s="56"/>
      <c r="H111" s="15"/>
      <c r="I111" s="15"/>
      <c r="J111" s="15"/>
    </row>
    <row r="112" spans="5:10" s="14" customFormat="1" ht="15">
      <c r="E112" s="56"/>
      <c r="H112" s="15"/>
      <c r="I112" s="15"/>
      <c r="J112" s="15"/>
    </row>
    <row r="113" spans="5:10" s="14" customFormat="1" ht="15">
      <c r="E113" s="56"/>
      <c r="H113" s="15"/>
      <c r="I113" s="15"/>
      <c r="J113" s="15"/>
    </row>
    <row r="114" spans="5:10" s="14" customFormat="1" ht="15">
      <c r="H114" s="15"/>
      <c r="I114" s="15"/>
      <c r="J114" s="15"/>
    </row>
    <row r="115" spans="5:10" s="14" customFormat="1" ht="15">
      <c r="H115" s="15"/>
      <c r="I115" s="15"/>
      <c r="J115" s="15"/>
    </row>
    <row r="116" spans="5:10" s="14" customFormat="1" ht="15">
      <c r="H116" s="15"/>
      <c r="I116" s="15"/>
      <c r="J116" s="15"/>
    </row>
    <row r="117" spans="5:10" s="14" customFormat="1" ht="15">
      <c r="H117" s="15"/>
      <c r="I117" s="15"/>
      <c r="J117" s="15"/>
    </row>
    <row r="118" spans="5:10" s="14" customFormat="1" ht="15">
      <c r="H118" s="15"/>
      <c r="I118" s="15"/>
      <c r="J118" s="15"/>
    </row>
    <row r="119" spans="5:10" s="14" customFormat="1" ht="15">
      <c r="H119" s="15"/>
      <c r="I119" s="15"/>
      <c r="J119" s="15"/>
    </row>
    <row r="120" spans="5:10" s="14" customFormat="1" ht="15">
      <c r="H120" s="15"/>
      <c r="I120" s="15"/>
      <c r="J120" s="15"/>
    </row>
    <row r="121" spans="5:10" s="14" customFormat="1" ht="15">
      <c r="H121" s="15"/>
      <c r="I121" s="15"/>
      <c r="J121" s="15"/>
    </row>
    <row r="122" spans="5:10" s="14" customFormat="1" ht="15">
      <c r="H122" s="15"/>
      <c r="I122" s="15"/>
      <c r="J122" s="15"/>
    </row>
    <row r="123" spans="5:10" s="14" customFormat="1" ht="15">
      <c r="H123" s="15"/>
      <c r="I123" s="15"/>
      <c r="J123" s="15"/>
    </row>
    <row r="124" spans="5:10" s="14" customFormat="1" ht="15">
      <c r="H124" s="15"/>
      <c r="I124" s="15"/>
      <c r="J124" s="15"/>
    </row>
    <row r="125" spans="5:10" s="14" customFormat="1" ht="15">
      <c r="H125" s="15"/>
      <c r="I125" s="15"/>
      <c r="J125" s="15"/>
    </row>
    <row r="126" spans="5:10" s="14" customFormat="1" ht="15">
      <c r="H126" s="15"/>
      <c r="I126" s="15"/>
      <c r="J126" s="15"/>
    </row>
    <row r="127" spans="5:10" s="14" customFormat="1" ht="15">
      <c r="H127" s="15"/>
      <c r="I127" s="15"/>
      <c r="J127" s="15"/>
    </row>
    <row r="128" spans="5:10" s="14" customFormat="1" ht="15">
      <c r="H128" s="15"/>
      <c r="I128" s="15"/>
      <c r="J128" s="15"/>
    </row>
    <row r="129" spans="8:10" s="14" customFormat="1" ht="15">
      <c r="H129" s="15"/>
      <c r="I129" s="15"/>
      <c r="J129" s="15"/>
    </row>
    <row r="130" spans="8:10" s="14" customFormat="1" ht="15"/>
    <row r="131" spans="8:10" s="14" customFormat="1" ht="15"/>
    <row r="132" spans="8:10" s="14" customFormat="1" ht="15"/>
    <row r="133" spans="8:10" s="14" customFormat="1" ht="15"/>
    <row r="134" spans="8:10" s="14" customFormat="1" ht="15"/>
    <row r="135" spans="8:10" s="14" customFormat="1" ht="15"/>
    <row r="136" spans="8:10" s="14" customFormat="1" ht="15"/>
    <row r="137" spans="8:10" s="14" customFormat="1" ht="15"/>
    <row r="138" spans="8:10" s="14" customFormat="1" ht="15"/>
    <row r="139" spans="8:10" s="14" customFormat="1" ht="15"/>
    <row r="140" spans="8:10" s="14" customFormat="1" ht="15"/>
    <row r="141" spans="8:10" s="14" customFormat="1" ht="15"/>
    <row r="142" spans="8:10" s="14" customFormat="1" ht="15"/>
    <row r="143" spans="8:10" s="14" customFormat="1" ht="15"/>
    <row r="144" spans="8:10" s="14" customFormat="1" ht="15"/>
    <row r="145" s="14" customFormat="1" ht="15"/>
    <row r="146" s="14" customFormat="1" ht="15"/>
    <row r="147" s="14" customFormat="1" ht="15"/>
    <row r="148" s="14" customFormat="1" ht="15"/>
    <row r="149" s="14" customFormat="1" ht="15"/>
    <row r="150" s="14" customFormat="1" ht="15"/>
    <row r="151" s="14" customFormat="1" ht="15"/>
    <row r="152" s="14" customFormat="1" ht="15"/>
    <row r="153" s="14" customFormat="1" ht="15"/>
    <row r="154" s="14" customFormat="1" ht="15"/>
    <row r="155" s="14" customFormat="1" ht="15"/>
    <row r="156" s="14" customFormat="1" ht="15"/>
    <row r="157" s="14" customFormat="1" ht="15"/>
    <row r="158" s="14" customFormat="1" ht="15"/>
    <row r="159" s="14" customFormat="1" ht="15"/>
    <row r="160" s="14" customFormat="1" ht="15"/>
    <row r="161" s="14" customFormat="1" ht="15"/>
    <row r="162" s="14" customFormat="1" ht="15"/>
    <row r="163" s="14" customFormat="1" ht="15"/>
    <row r="164" s="14" customFormat="1" ht="15"/>
    <row r="165" s="14" customFormat="1" ht="15"/>
    <row r="166" s="14" customFormat="1" ht="15"/>
    <row r="167" s="14" customFormat="1" ht="15"/>
    <row r="168" s="14" customFormat="1" ht="15"/>
    <row r="169" s="14" customFormat="1" ht="15"/>
    <row r="170" s="14" customFormat="1" ht="15"/>
    <row r="171" s="14" customFormat="1" ht="15"/>
    <row r="172" s="14" customFormat="1" ht="15"/>
    <row r="173" s="14" customFormat="1" ht="15"/>
    <row r="174" s="14" customFormat="1" ht="15"/>
    <row r="175" s="14" customFormat="1" ht="15"/>
    <row r="176" s="14" customFormat="1" ht="15"/>
    <row r="177" s="14" customFormat="1" ht="15"/>
    <row r="178" s="14" customFormat="1" ht="15"/>
    <row r="179" s="14" customFormat="1" ht="15"/>
    <row r="180" s="14" customFormat="1" ht="15"/>
    <row r="181" s="14" customFormat="1" ht="15"/>
    <row r="182" s="14" customFormat="1" ht="15"/>
    <row r="183" s="14" customFormat="1" ht="15"/>
    <row r="184" s="14" customFormat="1" ht="15"/>
    <row r="185" s="14" customFormat="1" ht="15"/>
    <row r="186" s="14" customFormat="1" ht="15"/>
    <row r="187" s="14" customFormat="1" ht="15"/>
    <row r="188" s="14" customFormat="1" ht="15"/>
    <row r="189" s="14" customFormat="1" ht="15"/>
    <row r="190" s="14" customFormat="1" ht="15"/>
    <row r="191" s="14" customFormat="1" ht="15"/>
    <row r="192" s="14" customFormat="1" ht="15"/>
    <row r="193" s="14" customFormat="1" ht="15"/>
    <row r="194" s="14" customFormat="1" ht="15"/>
    <row r="195" s="14" customFormat="1" ht="15"/>
    <row r="196" s="14" customFormat="1" ht="15"/>
  </sheetData>
  <mergeCells count="61">
    <mergeCell ref="H18:I18"/>
    <mergeCell ref="H4:J4"/>
    <mergeCell ref="H3:J3"/>
    <mergeCell ref="H14:I14"/>
    <mergeCell ref="H8:J8"/>
    <mergeCell ref="B12:J12"/>
    <mergeCell ref="H5:J5"/>
    <mergeCell ref="B10:D10"/>
    <mergeCell ref="H7:J7"/>
    <mergeCell ref="B6:E6"/>
    <mergeCell ref="F3:G3"/>
    <mergeCell ref="F4:G4"/>
    <mergeCell ref="F5:G5"/>
    <mergeCell ref="F6:G6"/>
    <mergeCell ref="F7:G7"/>
    <mergeCell ref="A24:D24"/>
    <mergeCell ref="H24:I24"/>
    <mergeCell ref="A21:D21"/>
    <mergeCell ref="H42:I42"/>
    <mergeCell ref="H6:J6"/>
    <mergeCell ref="J21:K21"/>
    <mergeCell ref="J14:K14"/>
    <mergeCell ref="A15:D15"/>
    <mergeCell ref="H15:I15"/>
    <mergeCell ref="J15:K15"/>
    <mergeCell ref="A16:D16"/>
    <mergeCell ref="H16:I16"/>
    <mergeCell ref="A25:D25"/>
    <mergeCell ref="H25:I25"/>
    <mergeCell ref="J25:K25"/>
    <mergeCell ref="J20:K20"/>
    <mergeCell ref="F8:G8"/>
    <mergeCell ref="B13:H13"/>
    <mergeCell ref="H10:I10"/>
    <mergeCell ref="A22:D22"/>
    <mergeCell ref="A23:D23"/>
    <mergeCell ref="A14:D14"/>
    <mergeCell ref="H22:I22"/>
    <mergeCell ref="H23:I23"/>
    <mergeCell ref="H21:I21"/>
    <mergeCell ref="A17:D17"/>
    <mergeCell ref="H17:I17"/>
    <mergeCell ref="A19:D19"/>
    <mergeCell ref="H19:I19"/>
    <mergeCell ref="A20:D20"/>
    <mergeCell ref="H20:I20"/>
    <mergeCell ref="A18:D18"/>
    <mergeCell ref="A27:D27"/>
    <mergeCell ref="H27:I27"/>
    <mergeCell ref="J27:K27"/>
    <mergeCell ref="E50:G50"/>
    <mergeCell ref="H45:I45"/>
    <mergeCell ref="H44:I44"/>
    <mergeCell ref="H43:I43"/>
    <mergeCell ref="A43:G43"/>
    <mergeCell ref="A45:G45"/>
    <mergeCell ref="A46:C48"/>
    <mergeCell ref="A44:G44"/>
    <mergeCell ref="J43:K43"/>
    <mergeCell ref="J42:K42"/>
    <mergeCell ref="A42:D42"/>
  </mergeCells>
  <phoneticPr fontId="2" type="noConversion"/>
  <hyperlinks>
    <hyperlink ref="H7" r:id="rId1" xr:uid="{BC30F755-3A8C-4F3C-83B1-4BE95AF35AD4}"/>
  </hyperlinks>
  <printOptions gridLinesSet="0"/>
  <pageMargins left="0.25" right="0.25" top="0.75" bottom="0.75" header="0.3" footer="0.3"/>
  <pageSetup paperSize="9" scale="86" orientation="portrait" r:id="rId2"/>
  <headerFooter alignWithMargins="0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CBBCF-FB5D-4791-A8AB-BABA13CC7AC0}">
  <dimension ref="A1:U184"/>
  <sheetViews>
    <sheetView view="pageBreakPreview" zoomScale="145" zoomScaleNormal="100" zoomScaleSheetLayoutView="145" workbookViewId="0">
      <selection activeCell="H18" sqref="H18:I18"/>
    </sheetView>
  </sheetViews>
  <sheetFormatPr baseColWidth="10" defaultColWidth="9" defaultRowHeight="18"/>
  <cols>
    <col min="1" max="1" width="2.1640625" style="6" customWidth="1"/>
    <col min="2" max="2" width="9.5" style="6" customWidth="1"/>
    <col min="3" max="3" width="7.1640625" style="6" customWidth="1"/>
    <col min="4" max="4" width="7.6640625" style="6" customWidth="1"/>
    <col min="5" max="5" width="12" style="6" customWidth="1"/>
    <col min="6" max="6" width="6.5" style="6" customWidth="1"/>
    <col min="7" max="7" width="9.33203125" style="6" customWidth="1"/>
    <col min="8" max="8" width="17.1640625" style="6" customWidth="1"/>
    <col min="9" max="9" width="5.5" style="6" customWidth="1"/>
    <col min="10" max="10" width="14.83203125" style="6" customWidth="1"/>
    <col min="11" max="11" width="5.1640625" style="6" customWidth="1"/>
    <col min="12" max="12" width="10.1640625" style="6" bestFit="1" customWidth="1"/>
    <col min="13" max="15" width="9" style="6"/>
    <col min="16" max="16" width="11.1640625" style="6" bestFit="1" customWidth="1"/>
    <col min="17" max="16384" width="9" style="6"/>
  </cols>
  <sheetData>
    <row r="1" spans="1:16">
      <c r="A1" s="3"/>
      <c r="B1" s="4"/>
      <c r="C1" s="4"/>
      <c r="D1" s="4"/>
      <c r="E1" s="4"/>
      <c r="F1" s="4"/>
      <c r="G1" s="4"/>
      <c r="H1" s="4"/>
      <c r="I1" s="4"/>
      <c r="J1" s="4"/>
      <c r="K1" s="5"/>
    </row>
    <row r="2" spans="1:16" s="10" customFormat="1" ht="55.5" customHeight="1">
      <c r="A2" s="7" t="s">
        <v>19</v>
      </c>
      <c r="B2" s="8"/>
      <c r="C2" s="8"/>
      <c r="D2" s="8"/>
      <c r="E2" s="8"/>
      <c r="F2" s="8"/>
      <c r="G2" s="8"/>
      <c r="H2" s="9"/>
      <c r="I2" s="9"/>
      <c r="J2" s="9"/>
      <c r="K2" s="8"/>
    </row>
    <row r="3" spans="1:16" s="14" customFormat="1" ht="15.75" customHeight="1">
      <c r="A3" s="11"/>
      <c r="B3" s="12"/>
      <c r="C3" s="12"/>
      <c r="D3" s="12"/>
      <c r="E3" s="12"/>
      <c r="F3" s="93" t="s">
        <v>18</v>
      </c>
      <c r="G3" s="93"/>
      <c r="H3" s="106" t="s">
        <v>9</v>
      </c>
      <c r="I3" s="64"/>
      <c r="J3" s="65"/>
      <c r="K3" s="13"/>
      <c r="P3" s="15"/>
    </row>
    <row r="4" spans="1:16" s="14" customFormat="1" ht="15.75" customHeight="1">
      <c r="A4" s="11"/>
      <c r="B4" s="16" t="s">
        <v>30</v>
      </c>
      <c r="C4" s="16" t="s">
        <v>40</v>
      </c>
      <c r="D4" s="16" t="s">
        <v>41</v>
      </c>
      <c r="E4" s="12"/>
      <c r="F4" s="93" t="s">
        <v>7</v>
      </c>
      <c r="G4" s="93"/>
      <c r="H4" s="103" t="s">
        <v>10</v>
      </c>
      <c r="I4" s="103"/>
      <c r="J4" s="104"/>
      <c r="K4" s="13"/>
      <c r="P4" s="15"/>
    </row>
    <row r="5" spans="1:16" s="14" customFormat="1" ht="15.75" customHeight="1">
      <c r="A5" s="11"/>
      <c r="B5" s="12"/>
      <c r="C5" s="12"/>
      <c r="D5" s="12"/>
      <c r="E5" s="12"/>
      <c r="F5" s="93" t="s">
        <v>17</v>
      </c>
      <c r="G5" s="93"/>
      <c r="H5" s="103" t="s">
        <v>8</v>
      </c>
      <c r="I5" s="103"/>
      <c r="J5" s="104"/>
      <c r="K5" s="13"/>
    </row>
    <row r="6" spans="1:16" s="14" customFormat="1" ht="40" customHeight="1">
      <c r="A6" s="11"/>
      <c r="B6" s="112" t="s">
        <v>34</v>
      </c>
      <c r="C6" s="113"/>
      <c r="D6" s="113"/>
      <c r="E6" s="113"/>
      <c r="F6" s="93" t="s">
        <v>24</v>
      </c>
      <c r="G6" s="93"/>
      <c r="H6" s="103" t="s">
        <v>14</v>
      </c>
      <c r="I6" s="103"/>
      <c r="J6" s="104"/>
      <c r="K6" s="13"/>
    </row>
    <row r="7" spans="1:16" s="14" customFormat="1" ht="15.75" customHeight="1">
      <c r="A7" s="11"/>
      <c r="B7" s="12" t="s">
        <v>20</v>
      </c>
      <c r="C7" s="17"/>
      <c r="D7" s="17"/>
      <c r="E7" s="17"/>
      <c r="F7" s="93" t="s">
        <v>16</v>
      </c>
      <c r="G7" s="93"/>
      <c r="H7" s="111" t="s">
        <v>28</v>
      </c>
      <c r="I7" s="107"/>
      <c r="J7" s="108"/>
      <c r="K7" s="18"/>
    </row>
    <row r="8" spans="1:16" s="14" customFormat="1" ht="15.75" customHeight="1">
      <c r="A8" s="11"/>
      <c r="C8" s="19"/>
      <c r="D8" s="20"/>
      <c r="E8" s="12"/>
      <c r="F8" s="93" t="s">
        <v>15</v>
      </c>
      <c r="G8" s="93"/>
      <c r="H8" s="107" t="s">
        <v>11</v>
      </c>
      <c r="I8" s="107"/>
      <c r="J8" s="108"/>
      <c r="K8" s="18"/>
    </row>
    <row r="9" spans="1:16" s="14" customFormat="1" ht="20" customHeight="1">
      <c r="A9" s="11"/>
      <c r="B9" s="12"/>
      <c r="C9" s="19"/>
      <c r="D9" s="20"/>
      <c r="E9" s="12"/>
      <c r="F9" s="21"/>
      <c r="G9" s="19"/>
      <c r="H9" s="22"/>
      <c r="I9" s="22"/>
      <c r="J9" s="22"/>
      <c r="K9" s="18"/>
    </row>
    <row r="10" spans="1:16" s="14" customFormat="1" ht="22" customHeight="1" thickBot="1">
      <c r="A10" s="11"/>
      <c r="B10" s="110"/>
      <c r="C10" s="110"/>
      <c r="D10" s="110"/>
      <c r="E10" s="24"/>
      <c r="F10" s="24"/>
      <c r="G10" s="25" t="s">
        <v>1</v>
      </c>
      <c r="H10" s="95">
        <f>H33</f>
        <v>19800000</v>
      </c>
      <c r="I10" s="95"/>
      <c r="J10" s="26" t="s">
        <v>2</v>
      </c>
      <c r="K10" s="18"/>
    </row>
    <row r="11" spans="1:16" s="14" customFormat="1" ht="22" customHeight="1">
      <c r="A11" s="11"/>
      <c r="B11" s="23"/>
      <c r="C11" s="23"/>
      <c r="D11" s="23"/>
      <c r="E11" s="24"/>
      <c r="F11" s="24"/>
      <c r="G11" s="24"/>
      <c r="H11" s="27"/>
      <c r="I11" s="27"/>
      <c r="J11" s="28"/>
      <c r="K11" s="18"/>
    </row>
    <row r="12" spans="1:16" s="14" customFormat="1" ht="22" customHeight="1">
      <c r="A12" s="11"/>
      <c r="B12" s="109" t="s">
        <v>61</v>
      </c>
      <c r="C12" s="109"/>
      <c r="D12" s="109"/>
      <c r="E12" s="109"/>
      <c r="F12" s="109"/>
      <c r="G12" s="109"/>
      <c r="H12" s="109"/>
      <c r="I12" s="109"/>
      <c r="J12" s="109"/>
      <c r="K12" s="18"/>
    </row>
    <row r="13" spans="1:16" s="14" customFormat="1" ht="22" customHeight="1">
      <c r="A13" s="11"/>
      <c r="B13" s="94"/>
      <c r="C13" s="94"/>
      <c r="D13" s="94"/>
      <c r="E13" s="94"/>
      <c r="F13" s="94"/>
      <c r="G13" s="94"/>
      <c r="H13" s="94"/>
      <c r="I13" s="29"/>
      <c r="J13" s="30"/>
      <c r="K13" s="31"/>
    </row>
    <row r="14" spans="1:16" s="14" customFormat="1" ht="17.25" customHeight="1">
      <c r="A14" s="97" t="s">
        <v>3</v>
      </c>
      <c r="B14" s="97"/>
      <c r="C14" s="97"/>
      <c r="D14" s="97"/>
      <c r="E14" s="32" t="s">
        <v>4</v>
      </c>
      <c r="F14" s="57" t="s">
        <v>26</v>
      </c>
      <c r="G14" s="57" t="s">
        <v>27</v>
      </c>
      <c r="H14" s="105" t="s">
        <v>21</v>
      </c>
      <c r="I14" s="105"/>
      <c r="J14" s="105" t="s">
        <v>0</v>
      </c>
      <c r="K14" s="105"/>
    </row>
    <row r="15" spans="1:16" s="14" customFormat="1" ht="17.25" customHeight="1">
      <c r="A15" s="100" t="s">
        <v>45</v>
      </c>
      <c r="B15" s="101"/>
      <c r="C15" s="101"/>
      <c r="D15" s="102"/>
      <c r="E15" s="33"/>
      <c r="F15" s="34"/>
      <c r="G15" s="35"/>
      <c r="H15" s="99">
        <f>SUM(H16:I19)</f>
        <v>8000000</v>
      </c>
      <c r="I15" s="99"/>
      <c r="J15" s="68"/>
      <c r="K15" s="69"/>
    </row>
    <row r="16" spans="1:16" s="14" customFormat="1" ht="17.25" customHeight="1">
      <c r="A16" s="63" t="s">
        <v>46</v>
      </c>
      <c r="B16" s="64"/>
      <c r="C16" s="64"/>
      <c r="D16" s="65"/>
      <c r="E16" s="33">
        <v>500000</v>
      </c>
      <c r="F16" s="34">
        <v>1</v>
      </c>
      <c r="G16" s="61">
        <v>1</v>
      </c>
      <c r="H16" s="98">
        <f>E16</f>
        <v>500000</v>
      </c>
      <c r="I16" s="98"/>
      <c r="J16" s="36"/>
      <c r="K16" s="37"/>
    </row>
    <row r="17" spans="1:21" s="14" customFormat="1" ht="17.25" customHeight="1">
      <c r="A17" s="63" t="s">
        <v>47</v>
      </c>
      <c r="B17" s="64"/>
      <c r="C17" s="64"/>
      <c r="D17" s="65"/>
      <c r="E17" s="33">
        <v>500000</v>
      </c>
      <c r="F17" s="34">
        <v>1</v>
      </c>
      <c r="G17" s="61">
        <v>1</v>
      </c>
      <c r="H17" s="98">
        <f>E17*F17*G17</f>
        <v>500000</v>
      </c>
      <c r="I17" s="98"/>
      <c r="J17" s="36"/>
      <c r="K17" s="37"/>
    </row>
    <row r="18" spans="1:21" s="14" customFormat="1" ht="17.25" customHeight="1">
      <c r="A18" s="96" t="s">
        <v>48</v>
      </c>
      <c r="B18" s="64"/>
      <c r="C18" s="64"/>
      <c r="D18" s="65"/>
      <c r="E18" s="33">
        <v>200000</v>
      </c>
      <c r="F18" s="34">
        <v>1</v>
      </c>
      <c r="G18" s="61">
        <v>20</v>
      </c>
      <c r="H18" s="98">
        <f>E18*F18*G18</f>
        <v>4000000</v>
      </c>
      <c r="I18" s="98"/>
      <c r="J18" s="36"/>
      <c r="K18" s="37"/>
    </row>
    <row r="19" spans="1:21" s="14" customFormat="1" ht="27" customHeight="1">
      <c r="A19" s="96" t="s">
        <v>49</v>
      </c>
      <c r="B19" s="64"/>
      <c r="C19" s="64"/>
      <c r="D19" s="65"/>
      <c r="E19" s="33">
        <v>1000000</v>
      </c>
      <c r="F19" s="34">
        <v>3</v>
      </c>
      <c r="G19" s="61">
        <v>1</v>
      </c>
      <c r="H19" s="98">
        <f>E19*F19*G19</f>
        <v>3000000</v>
      </c>
      <c r="I19" s="98"/>
      <c r="J19" s="36"/>
      <c r="K19" s="37"/>
    </row>
    <row r="20" spans="1:21" s="14" customFormat="1" ht="17.25" customHeight="1">
      <c r="A20" s="100" t="s">
        <v>50</v>
      </c>
      <c r="B20" s="101"/>
      <c r="C20" s="101"/>
      <c r="D20" s="102"/>
      <c r="E20" s="33"/>
      <c r="F20" s="34"/>
      <c r="G20" s="61"/>
      <c r="H20" s="99">
        <f>SUM(H21:I23)</f>
        <v>2200000</v>
      </c>
      <c r="I20" s="99"/>
      <c r="J20" s="68"/>
      <c r="K20" s="69"/>
    </row>
    <row r="21" spans="1:21" s="14" customFormat="1" ht="17.25" customHeight="1">
      <c r="A21" s="63" t="s">
        <v>51</v>
      </c>
      <c r="B21" s="64"/>
      <c r="C21" s="64"/>
      <c r="D21" s="65"/>
      <c r="E21" s="33">
        <v>500000</v>
      </c>
      <c r="F21" s="34">
        <v>1</v>
      </c>
      <c r="G21" s="61">
        <v>1</v>
      </c>
      <c r="H21" s="98">
        <f>E21</f>
        <v>500000</v>
      </c>
      <c r="I21" s="98"/>
      <c r="J21" s="36"/>
      <c r="K21" s="37"/>
    </row>
    <row r="22" spans="1:21" s="14" customFormat="1" ht="30.5" customHeight="1">
      <c r="A22" s="96" t="s">
        <v>52</v>
      </c>
      <c r="B22" s="64"/>
      <c r="C22" s="64"/>
      <c r="D22" s="65"/>
      <c r="E22" s="33">
        <v>1500000</v>
      </c>
      <c r="F22" s="34">
        <v>1</v>
      </c>
      <c r="G22" s="61">
        <v>1</v>
      </c>
      <c r="H22" s="98">
        <f t="shared" ref="H22" si="0">E22</f>
        <v>1500000</v>
      </c>
      <c r="I22" s="98"/>
      <c r="J22" s="36"/>
      <c r="K22" s="37"/>
    </row>
    <row r="23" spans="1:21" s="14" customFormat="1" ht="17.25" customHeight="1">
      <c r="A23" s="63" t="s">
        <v>53</v>
      </c>
      <c r="B23" s="64"/>
      <c r="C23" s="64"/>
      <c r="D23" s="65"/>
      <c r="E23" s="33">
        <v>200000</v>
      </c>
      <c r="F23" s="34">
        <v>1</v>
      </c>
      <c r="G23" s="61">
        <v>1</v>
      </c>
      <c r="H23" s="98">
        <f>E23*F23*G23</f>
        <v>200000</v>
      </c>
      <c r="I23" s="98"/>
      <c r="J23" s="36"/>
      <c r="K23" s="37"/>
    </row>
    <row r="24" spans="1:21" s="14" customFormat="1" ht="17.25" customHeight="1">
      <c r="A24" s="100" t="s">
        <v>54</v>
      </c>
      <c r="B24" s="101"/>
      <c r="C24" s="101"/>
      <c r="D24" s="102"/>
      <c r="E24" s="33"/>
      <c r="F24" s="34"/>
      <c r="G24" s="61"/>
      <c r="H24" s="99">
        <f>SUM(H25:I27)</f>
        <v>3000000</v>
      </c>
      <c r="I24" s="99"/>
      <c r="J24" s="68"/>
      <c r="K24" s="69"/>
    </row>
    <row r="25" spans="1:21" s="14" customFormat="1" ht="17.25" customHeight="1">
      <c r="A25" s="63" t="s">
        <v>55</v>
      </c>
      <c r="B25" s="64"/>
      <c r="C25" s="64"/>
      <c r="D25" s="65"/>
      <c r="E25" s="33">
        <v>500000</v>
      </c>
      <c r="F25" s="34">
        <v>1</v>
      </c>
      <c r="G25" s="61">
        <v>1</v>
      </c>
      <c r="H25" s="98">
        <f>E25</f>
        <v>500000</v>
      </c>
      <c r="I25" s="98"/>
      <c r="J25" s="36"/>
      <c r="K25" s="37"/>
    </row>
    <row r="26" spans="1:21" s="14" customFormat="1" ht="30.5" customHeight="1">
      <c r="A26" s="96" t="s">
        <v>56</v>
      </c>
      <c r="B26" s="64"/>
      <c r="C26" s="64"/>
      <c r="D26" s="65"/>
      <c r="E26" s="33">
        <v>500000</v>
      </c>
      <c r="F26" s="34">
        <v>1</v>
      </c>
      <c r="G26" s="61">
        <v>1</v>
      </c>
      <c r="H26" s="98">
        <f t="shared" ref="H26" si="1">E26</f>
        <v>500000</v>
      </c>
      <c r="I26" s="98"/>
      <c r="J26" s="36"/>
      <c r="K26" s="37"/>
    </row>
    <row r="27" spans="1:21" s="14" customFormat="1" ht="17.25" customHeight="1">
      <c r="A27" s="63" t="s">
        <v>57</v>
      </c>
      <c r="B27" s="64"/>
      <c r="C27" s="64"/>
      <c r="D27" s="65"/>
      <c r="E27" s="33">
        <v>2000000</v>
      </c>
      <c r="F27" s="34">
        <v>1</v>
      </c>
      <c r="G27" s="61">
        <v>1</v>
      </c>
      <c r="H27" s="98">
        <f>E27*F27*G27</f>
        <v>2000000</v>
      </c>
      <c r="I27" s="98"/>
      <c r="J27" s="36"/>
      <c r="K27" s="37"/>
    </row>
    <row r="28" spans="1:21" s="14" customFormat="1" ht="17.25" customHeight="1">
      <c r="A28" s="100" t="s">
        <v>58</v>
      </c>
      <c r="B28" s="101"/>
      <c r="C28" s="101"/>
      <c r="D28" s="102"/>
      <c r="E28" s="33"/>
      <c r="F28" s="34"/>
      <c r="G28" s="61"/>
      <c r="H28" s="99">
        <f>SUM(H29:I30)</f>
        <v>4800000</v>
      </c>
      <c r="I28" s="99"/>
      <c r="J28" s="68"/>
      <c r="K28" s="69"/>
    </row>
    <row r="29" spans="1:21" s="14" customFormat="1" ht="17.25" customHeight="1">
      <c r="A29" s="63" t="s">
        <v>59</v>
      </c>
      <c r="B29" s="64"/>
      <c r="C29" s="64"/>
      <c r="D29" s="65"/>
      <c r="E29" s="33">
        <v>200000</v>
      </c>
      <c r="F29" s="34">
        <v>3</v>
      </c>
      <c r="G29" s="61">
        <v>4</v>
      </c>
      <c r="H29" s="98">
        <f>E29*F29*G29</f>
        <v>2400000</v>
      </c>
      <c r="I29" s="98"/>
      <c r="J29" s="36"/>
      <c r="K29" s="37"/>
    </row>
    <row r="30" spans="1:21" s="14" customFormat="1" ht="30.5" customHeight="1">
      <c r="A30" s="96" t="s">
        <v>60</v>
      </c>
      <c r="B30" s="64"/>
      <c r="C30" s="64"/>
      <c r="D30" s="65"/>
      <c r="E30" s="33">
        <v>200000</v>
      </c>
      <c r="F30" s="34">
        <v>3</v>
      </c>
      <c r="G30" s="61">
        <v>4</v>
      </c>
      <c r="H30" s="98">
        <f>E30*F30*G30</f>
        <v>2400000</v>
      </c>
      <c r="I30" s="98"/>
      <c r="J30" s="36"/>
      <c r="K30" s="37"/>
    </row>
    <row r="31" spans="1:21" s="14" customFormat="1" ht="17.25" customHeight="1">
      <c r="A31" s="76" t="s">
        <v>25</v>
      </c>
      <c r="B31" s="76"/>
      <c r="C31" s="76"/>
      <c r="D31" s="76"/>
      <c r="E31" s="76"/>
      <c r="F31" s="76"/>
      <c r="G31" s="76"/>
      <c r="H31" s="75">
        <f>H15+H28+H20+H24</f>
        <v>18000000</v>
      </c>
      <c r="I31" s="75"/>
      <c r="J31" s="91"/>
      <c r="K31" s="92"/>
      <c r="L31" s="15"/>
      <c r="U31" s="38"/>
    </row>
    <row r="32" spans="1:21" s="14" customFormat="1" ht="17.25" customHeight="1">
      <c r="A32" s="88" t="s">
        <v>22</v>
      </c>
      <c r="B32" s="89"/>
      <c r="C32" s="89"/>
      <c r="D32" s="89"/>
      <c r="E32" s="89"/>
      <c r="F32" s="89"/>
      <c r="G32" s="90"/>
      <c r="H32" s="73">
        <f>H31*0.1</f>
        <v>1800000</v>
      </c>
      <c r="I32" s="74"/>
      <c r="J32" s="39"/>
      <c r="K32" s="40"/>
      <c r="L32" s="15"/>
      <c r="P32" s="41"/>
    </row>
    <row r="33" spans="1:11" s="14" customFormat="1" ht="22" customHeight="1">
      <c r="A33" s="77" t="s">
        <v>5</v>
      </c>
      <c r="B33" s="78"/>
      <c r="C33" s="78"/>
      <c r="D33" s="78"/>
      <c r="E33" s="78"/>
      <c r="F33" s="78"/>
      <c r="G33" s="78"/>
      <c r="H33" s="71">
        <f>SUM(H32,H31)</f>
        <v>19800000</v>
      </c>
      <c r="I33" s="72"/>
      <c r="J33" s="42"/>
      <c r="K33" s="43"/>
    </row>
    <row r="34" spans="1:11" s="14" customFormat="1" ht="22" customHeight="1">
      <c r="A34" s="79" t="s">
        <v>6</v>
      </c>
      <c r="B34" s="80"/>
      <c r="C34" s="81"/>
      <c r="D34" s="1" t="s">
        <v>29</v>
      </c>
      <c r="E34" s="44"/>
      <c r="F34" s="45"/>
      <c r="G34" s="45"/>
      <c r="H34" s="46"/>
      <c r="I34" s="46"/>
      <c r="J34" s="46"/>
      <c r="K34" s="47"/>
    </row>
    <row r="35" spans="1:11" s="14" customFormat="1" ht="22" customHeight="1">
      <c r="A35" s="82"/>
      <c r="B35" s="83"/>
      <c r="C35" s="84"/>
      <c r="D35" s="1" t="s">
        <v>12</v>
      </c>
      <c r="E35" s="44"/>
      <c r="F35" s="45"/>
      <c r="G35" s="45"/>
      <c r="H35" s="44"/>
      <c r="I35" s="44"/>
      <c r="J35" s="44"/>
      <c r="K35" s="18"/>
    </row>
    <row r="36" spans="1:11" s="14" customFormat="1" ht="22" customHeight="1">
      <c r="A36" s="85"/>
      <c r="B36" s="86"/>
      <c r="C36" s="87"/>
      <c r="D36" s="2" t="s">
        <v>13</v>
      </c>
      <c r="E36" s="50"/>
      <c r="F36" s="50"/>
      <c r="G36" s="50"/>
      <c r="H36" s="50"/>
      <c r="I36" s="50"/>
      <c r="J36" s="50"/>
      <c r="K36" s="31"/>
    </row>
    <row r="37" spans="1:11" s="14" customFormat="1" ht="30.75" customHeight="1">
      <c r="A37" s="11"/>
      <c r="B37" s="48"/>
      <c r="C37" s="48"/>
      <c r="D37" s="51"/>
      <c r="E37" s="44"/>
      <c r="F37" s="45"/>
      <c r="G37" s="45"/>
      <c r="H37" s="44"/>
      <c r="I37" s="44"/>
      <c r="J37" s="44"/>
      <c r="K37" s="18"/>
    </row>
    <row r="38" spans="1:11" s="14" customFormat="1" ht="28" customHeight="1">
      <c r="A38" s="11"/>
      <c r="B38" s="48"/>
      <c r="C38" s="48"/>
      <c r="E38" s="70" t="s">
        <v>9</v>
      </c>
      <c r="F38" s="70"/>
      <c r="G38" s="70"/>
      <c r="H38" s="52" t="s">
        <v>23</v>
      </c>
      <c r="I38" s="52"/>
      <c r="J38" s="52"/>
      <c r="K38" s="18"/>
    </row>
    <row r="39" spans="1:11" s="14" customFormat="1" ht="30.75" customHeight="1">
      <c r="A39" s="53"/>
      <c r="B39" s="49"/>
      <c r="C39" s="49"/>
      <c r="D39" s="54"/>
      <c r="E39" s="54"/>
      <c r="F39" s="55"/>
      <c r="G39" s="55"/>
      <c r="H39" s="54"/>
      <c r="I39" s="54"/>
      <c r="J39" s="54"/>
      <c r="K39" s="31"/>
    </row>
    <row r="40" spans="1:11" s="14" customFormat="1" ht="20" customHeight="1"/>
    <row r="41" spans="1:11" s="14" customFormat="1" ht="20" customHeight="1"/>
    <row r="42" spans="1:11" s="14" customFormat="1" ht="20" customHeight="1"/>
    <row r="43" spans="1:11" s="14" customFormat="1" ht="25.5" customHeight="1"/>
    <row r="44" spans="1:11" s="14" customFormat="1" ht="27.75" customHeight="1"/>
    <row r="45" spans="1:11" s="14" customFormat="1" ht="15">
      <c r="E45" s="56"/>
      <c r="H45" s="15"/>
      <c r="I45" s="15"/>
      <c r="J45" s="15"/>
    </row>
    <row r="46" spans="1:11" s="14" customFormat="1" ht="15">
      <c r="E46" s="56"/>
      <c r="H46" s="15"/>
      <c r="I46" s="15"/>
      <c r="J46" s="15"/>
    </row>
    <row r="47" spans="1:11" s="14" customFormat="1" ht="15">
      <c r="E47" s="56"/>
      <c r="H47" s="15"/>
      <c r="I47" s="15"/>
      <c r="J47" s="15"/>
    </row>
    <row r="48" spans="1:11" s="14" customFormat="1" ht="15">
      <c r="E48" s="56"/>
      <c r="H48" s="15"/>
      <c r="I48" s="15"/>
      <c r="J48" s="15"/>
    </row>
    <row r="49" spans="5:10" s="14" customFormat="1" ht="15">
      <c r="E49" s="56"/>
      <c r="H49" s="15"/>
      <c r="I49" s="15"/>
      <c r="J49" s="15"/>
    </row>
    <row r="50" spans="5:10" s="14" customFormat="1" ht="15">
      <c r="E50" s="56"/>
      <c r="H50" s="15"/>
      <c r="I50" s="15"/>
      <c r="J50" s="15"/>
    </row>
    <row r="51" spans="5:10" s="14" customFormat="1" ht="15">
      <c r="E51" s="56"/>
      <c r="H51" s="15"/>
      <c r="I51" s="15"/>
      <c r="J51" s="15"/>
    </row>
    <row r="52" spans="5:10" s="14" customFormat="1" ht="15">
      <c r="E52" s="56"/>
      <c r="H52" s="15"/>
      <c r="I52" s="15"/>
      <c r="J52" s="15"/>
    </row>
    <row r="53" spans="5:10" s="14" customFormat="1" ht="15">
      <c r="E53" s="56"/>
      <c r="H53" s="15"/>
      <c r="I53" s="15"/>
      <c r="J53" s="15"/>
    </row>
    <row r="54" spans="5:10" s="14" customFormat="1" ht="15">
      <c r="E54" s="56"/>
      <c r="H54" s="15"/>
      <c r="I54" s="15"/>
      <c r="J54" s="15"/>
    </row>
    <row r="55" spans="5:10" s="14" customFormat="1" ht="15">
      <c r="E55" s="56"/>
      <c r="H55" s="15"/>
      <c r="I55" s="15"/>
      <c r="J55" s="15"/>
    </row>
    <row r="56" spans="5:10" s="14" customFormat="1" ht="15">
      <c r="E56" s="56"/>
      <c r="H56" s="15"/>
      <c r="I56" s="15"/>
      <c r="J56" s="15"/>
    </row>
    <row r="57" spans="5:10" s="14" customFormat="1" ht="15">
      <c r="E57" s="56"/>
      <c r="H57" s="15"/>
      <c r="I57" s="15"/>
      <c r="J57" s="15"/>
    </row>
    <row r="58" spans="5:10" s="14" customFormat="1" ht="15">
      <c r="E58" s="56"/>
      <c r="H58" s="15"/>
      <c r="I58" s="15"/>
      <c r="J58" s="15"/>
    </row>
    <row r="59" spans="5:10" s="14" customFormat="1" ht="15">
      <c r="E59" s="56"/>
      <c r="H59" s="15"/>
      <c r="I59" s="15"/>
      <c r="J59" s="15"/>
    </row>
    <row r="60" spans="5:10" s="14" customFormat="1" ht="15">
      <c r="E60" s="56"/>
      <c r="H60" s="15"/>
      <c r="I60" s="15"/>
      <c r="J60" s="15"/>
    </row>
    <row r="61" spans="5:10" s="14" customFormat="1" ht="15">
      <c r="E61" s="56"/>
      <c r="H61" s="15"/>
      <c r="I61" s="15"/>
      <c r="J61" s="15"/>
    </row>
    <row r="62" spans="5:10" s="14" customFormat="1" ht="15">
      <c r="E62" s="56"/>
      <c r="H62" s="15"/>
      <c r="I62" s="15"/>
      <c r="J62" s="15"/>
    </row>
    <row r="63" spans="5:10" s="14" customFormat="1" ht="15">
      <c r="E63" s="56"/>
      <c r="H63" s="15"/>
      <c r="I63" s="15"/>
      <c r="J63" s="15"/>
    </row>
    <row r="64" spans="5:10" s="14" customFormat="1" ht="15">
      <c r="E64" s="56"/>
      <c r="H64" s="15"/>
      <c r="I64" s="15"/>
      <c r="J64" s="15"/>
    </row>
    <row r="65" spans="5:10" s="14" customFormat="1" ht="15">
      <c r="E65" s="56"/>
      <c r="H65" s="15"/>
      <c r="I65" s="15"/>
      <c r="J65" s="15"/>
    </row>
    <row r="66" spans="5:10" s="14" customFormat="1" ht="15">
      <c r="E66" s="56"/>
      <c r="H66" s="15"/>
      <c r="I66" s="15"/>
      <c r="J66" s="15"/>
    </row>
    <row r="67" spans="5:10" s="14" customFormat="1" ht="15">
      <c r="E67" s="56"/>
      <c r="H67" s="15"/>
      <c r="I67" s="15"/>
      <c r="J67" s="15"/>
    </row>
    <row r="68" spans="5:10" s="14" customFormat="1" ht="15">
      <c r="E68" s="56"/>
      <c r="H68" s="15"/>
      <c r="I68" s="15"/>
      <c r="J68" s="15"/>
    </row>
    <row r="69" spans="5:10" s="14" customFormat="1" ht="15">
      <c r="E69" s="56"/>
      <c r="H69" s="15"/>
      <c r="I69" s="15"/>
      <c r="J69" s="15"/>
    </row>
    <row r="70" spans="5:10" s="14" customFormat="1" ht="15">
      <c r="E70" s="56"/>
      <c r="H70" s="15"/>
      <c r="I70" s="15"/>
      <c r="J70" s="15"/>
    </row>
    <row r="71" spans="5:10" s="14" customFormat="1" ht="15">
      <c r="E71" s="56"/>
      <c r="H71" s="15"/>
      <c r="I71" s="15"/>
      <c r="J71" s="15"/>
    </row>
    <row r="72" spans="5:10" s="14" customFormat="1" ht="15">
      <c r="E72" s="56"/>
      <c r="H72" s="15"/>
      <c r="I72" s="15"/>
      <c r="J72" s="15"/>
    </row>
    <row r="73" spans="5:10" s="14" customFormat="1" ht="15">
      <c r="E73" s="56"/>
      <c r="H73" s="15"/>
      <c r="I73" s="15"/>
      <c r="J73" s="15"/>
    </row>
    <row r="74" spans="5:10" s="14" customFormat="1" ht="15">
      <c r="E74" s="56"/>
      <c r="H74" s="15"/>
      <c r="I74" s="15"/>
      <c r="J74" s="15"/>
    </row>
    <row r="75" spans="5:10" s="14" customFormat="1" ht="15">
      <c r="E75" s="56"/>
      <c r="H75" s="15"/>
      <c r="I75" s="15"/>
      <c r="J75" s="15"/>
    </row>
    <row r="76" spans="5:10" s="14" customFormat="1" ht="15">
      <c r="E76" s="56"/>
      <c r="H76" s="15"/>
      <c r="I76" s="15"/>
      <c r="J76" s="15"/>
    </row>
    <row r="77" spans="5:10" s="14" customFormat="1" ht="15">
      <c r="E77" s="56"/>
      <c r="H77" s="15"/>
      <c r="I77" s="15"/>
      <c r="J77" s="15"/>
    </row>
    <row r="78" spans="5:10" s="14" customFormat="1" ht="15">
      <c r="E78" s="56"/>
      <c r="H78" s="15"/>
      <c r="I78" s="15"/>
      <c r="J78" s="15"/>
    </row>
    <row r="79" spans="5:10" s="14" customFormat="1" ht="15">
      <c r="E79" s="56"/>
      <c r="H79" s="15"/>
      <c r="I79" s="15"/>
      <c r="J79" s="15"/>
    </row>
    <row r="80" spans="5:10" s="14" customFormat="1" ht="15">
      <c r="E80" s="56"/>
      <c r="H80" s="15"/>
      <c r="I80" s="15"/>
      <c r="J80" s="15"/>
    </row>
    <row r="81" spans="5:10" s="14" customFormat="1" ht="15">
      <c r="E81" s="56"/>
      <c r="H81" s="15"/>
      <c r="I81" s="15"/>
      <c r="J81" s="15"/>
    </row>
    <row r="82" spans="5:10" s="14" customFormat="1" ht="15">
      <c r="E82" s="56"/>
      <c r="H82" s="15"/>
      <c r="I82" s="15"/>
      <c r="J82" s="15"/>
    </row>
    <row r="83" spans="5:10" s="14" customFormat="1" ht="15">
      <c r="E83" s="56"/>
      <c r="H83" s="15"/>
      <c r="I83" s="15"/>
      <c r="J83" s="15"/>
    </row>
    <row r="84" spans="5:10" s="14" customFormat="1" ht="15">
      <c r="E84" s="56"/>
      <c r="H84" s="15"/>
      <c r="I84" s="15"/>
      <c r="J84" s="15"/>
    </row>
    <row r="85" spans="5:10" s="14" customFormat="1" ht="15">
      <c r="E85" s="56"/>
      <c r="H85" s="15"/>
      <c r="I85" s="15"/>
      <c r="J85" s="15"/>
    </row>
    <row r="86" spans="5:10" s="14" customFormat="1" ht="15">
      <c r="E86" s="56"/>
      <c r="H86" s="15"/>
      <c r="I86" s="15"/>
      <c r="J86" s="15"/>
    </row>
    <row r="87" spans="5:10" s="14" customFormat="1" ht="15">
      <c r="E87" s="56"/>
      <c r="H87" s="15"/>
      <c r="I87" s="15"/>
      <c r="J87" s="15"/>
    </row>
    <row r="88" spans="5:10" s="14" customFormat="1" ht="15">
      <c r="E88" s="56"/>
      <c r="H88" s="15"/>
      <c r="I88" s="15"/>
      <c r="J88" s="15"/>
    </row>
    <row r="89" spans="5:10" s="14" customFormat="1" ht="15">
      <c r="E89" s="56"/>
      <c r="H89" s="15"/>
      <c r="I89" s="15"/>
      <c r="J89" s="15"/>
    </row>
    <row r="90" spans="5:10" s="14" customFormat="1" ht="15">
      <c r="E90" s="56"/>
      <c r="H90" s="15"/>
      <c r="I90" s="15"/>
      <c r="J90" s="15"/>
    </row>
    <row r="91" spans="5:10" s="14" customFormat="1" ht="15">
      <c r="E91" s="56"/>
      <c r="H91" s="15"/>
      <c r="I91" s="15"/>
      <c r="J91" s="15"/>
    </row>
    <row r="92" spans="5:10" s="14" customFormat="1" ht="15">
      <c r="E92" s="56"/>
      <c r="H92" s="15"/>
      <c r="I92" s="15"/>
      <c r="J92" s="15"/>
    </row>
    <row r="93" spans="5:10" s="14" customFormat="1" ht="15">
      <c r="E93" s="56"/>
      <c r="H93" s="15"/>
      <c r="I93" s="15"/>
      <c r="J93" s="15"/>
    </row>
    <row r="94" spans="5:10" s="14" customFormat="1" ht="15">
      <c r="E94" s="56"/>
      <c r="H94" s="15"/>
      <c r="I94" s="15"/>
      <c r="J94" s="15"/>
    </row>
    <row r="95" spans="5:10" s="14" customFormat="1" ht="15">
      <c r="E95" s="56"/>
      <c r="H95" s="15"/>
      <c r="I95" s="15"/>
      <c r="J95" s="15"/>
    </row>
    <row r="96" spans="5:10" s="14" customFormat="1" ht="15">
      <c r="E96" s="56"/>
      <c r="H96" s="15"/>
      <c r="I96" s="15"/>
      <c r="J96" s="15"/>
    </row>
    <row r="97" spans="5:10" s="14" customFormat="1" ht="15">
      <c r="E97" s="56"/>
      <c r="H97" s="15"/>
      <c r="I97" s="15"/>
      <c r="J97" s="15"/>
    </row>
    <row r="98" spans="5:10" s="14" customFormat="1" ht="15">
      <c r="E98" s="56"/>
      <c r="H98" s="15"/>
      <c r="I98" s="15"/>
      <c r="J98" s="15"/>
    </row>
    <row r="99" spans="5:10" s="14" customFormat="1" ht="15">
      <c r="E99" s="56"/>
      <c r="H99" s="15"/>
      <c r="I99" s="15"/>
      <c r="J99" s="15"/>
    </row>
    <row r="100" spans="5:10" s="14" customFormat="1" ht="15">
      <c r="E100" s="56"/>
      <c r="H100" s="15"/>
      <c r="I100" s="15"/>
      <c r="J100" s="15"/>
    </row>
    <row r="101" spans="5:10" s="14" customFormat="1" ht="15">
      <c r="E101" s="56"/>
      <c r="H101" s="15"/>
      <c r="I101" s="15"/>
      <c r="J101" s="15"/>
    </row>
    <row r="102" spans="5:10" s="14" customFormat="1" ht="15">
      <c r="H102" s="15"/>
      <c r="I102" s="15"/>
      <c r="J102" s="15"/>
    </row>
    <row r="103" spans="5:10" s="14" customFormat="1" ht="15">
      <c r="H103" s="15"/>
      <c r="I103" s="15"/>
      <c r="J103" s="15"/>
    </row>
    <row r="104" spans="5:10" s="14" customFormat="1" ht="15">
      <c r="H104" s="15"/>
      <c r="I104" s="15"/>
      <c r="J104" s="15"/>
    </row>
    <row r="105" spans="5:10" s="14" customFormat="1" ht="15">
      <c r="H105" s="15"/>
      <c r="I105" s="15"/>
      <c r="J105" s="15"/>
    </row>
    <row r="106" spans="5:10" s="14" customFormat="1" ht="15">
      <c r="H106" s="15"/>
      <c r="I106" s="15"/>
      <c r="J106" s="15"/>
    </row>
    <row r="107" spans="5:10" s="14" customFormat="1" ht="15">
      <c r="H107" s="15"/>
      <c r="I107" s="15"/>
      <c r="J107" s="15"/>
    </row>
    <row r="108" spans="5:10" s="14" customFormat="1" ht="15">
      <c r="H108" s="15"/>
      <c r="I108" s="15"/>
      <c r="J108" s="15"/>
    </row>
    <row r="109" spans="5:10" s="14" customFormat="1" ht="15">
      <c r="H109" s="15"/>
      <c r="I109" s="15"/>
      <c r="J109" s="15"/>
    </row>
    <row r="110" spans="5:10" s="14" customFormat="1" ht="15">
      <c r="H110" s="15"/>
      <c r="I110" s="15"/>
      <c r="J110" s="15"/>
    </row>
    <row r="111" spans="5:10" s="14" customFormat="1" ht="15">
      <c r="H111" s="15"/>
      <c r="I111" s="15"/>
      <c r="J111" s="15"/>
    </row>
    <row r="112" spans="5:10" s="14" customFormat="1" ht="15">
      <c r="H112" s="15"/>
      <c r="I112" s="15"/>
      <c r="J112" s="15"/>
    </row>
    <row r="113" spans="8:10" s="14" customFormat="1" ht="15">
      <c r="H113" s="15"/>
      <c r="I113" s="15"/>
      <c r="J113" s="15"/>
    </row>
    <row r="114" spans="8:10" s="14" customFormat="1" ht="15">
      <c r="H114" s="15"/>
      <c r="I114" s="15"/>
      <c r="J114" s="15"/>
    </row>
    <row r="115" spans="8:10" s="14" customFormat="1" ht="15">
      <c r="H115" s="15"/>
      <c r="I115" s="15"/>
      <c r="J115" s="15"/>
    </row>
    <row r="116" spans="8:10" s="14" customFormat="1" ht="15">
      <c r="H116" s="15"/>
      <c r="I116" s="15"/>
      <c r="J116" s="15"/>
    </row>
    <row r="117" spans="8:10" s="14" customFormat="1" ht="15">
      <c r="H117" s="15"/>
      <c r="I117" s="15"/>
      <c r="J117" s="15"/>
    </row>
    <row r="118" spans="8:10" s="14" customFormat="1" ht="15"/>
    <row r="119" spans="8:10" s="14" customFormat="1" ht="15"/>
    <row r="120" spans="8:10" s="14" customFormat="1" ht="15"/>
    <row r="121" spans="8:10" s="14" customFormat="1" ht="15"/>
    <row r="122" spans="8:10" s="14" customFormat="1" ht="15"/>
    <row r="123" spans="8:10" s="14" customFormat="1" ht="15"/>
    <row r="124" spans="8:10" s="14" customFormat="1" ht="15"/>
    <row r="125" spans="8:10" s="14" customFormat="1" ht="15"/>
    <row r="126" spans="8:10" s="14" customFormat="1" ht="15"/>
    <row r="127" spans="8:10" s="14" customFormat="1" ht="15"/>
    <row r="128" spans="8:10" s="14" customFormat="1" ht="15"/>
    <row r="129" s="14" customFormat="1" ht="15"/>
    <row r="130" s="14" customFormat="1" ht="15"/>
    <row r="131" s="14" customFormat="1" ht="15"/>
    <row r="132" s="14" customFormat="1" ht="15"/>
    <row r="133" s="14" customFormat="1" ht="15"/>
    <row r="134" s="14" customFormat="1" ht="15"/>
    <row r="135" s="14" customFormat="1" ht="15"/>
    <row r="136" s="14" customFormat="1" ht="15"/>
    <row r="137" s="14" customFormat="1" ht="15"/>
    <row r="138" s="14" customFormat="1" ht="15"/>
    <row r="139" s="14" customFormat="1" ht="15"/>
    <row r="140" s="14" customFormat="1" ht="15"/>
    <row r="141" s="14" customFormat="1" ht="15"/>
    <row r="142" s="14" customFormat="1" ht="15"/>
    <row r="143" s="14" customFormat="1" ht="15"/>
    <row r="144" s="14" customFormat="1" ht="15"/>
    <row r="145" s="14" customFormat="1" ht="15"/>
    <row r="146" s="14" customFormat="1" ht="15"/>
    <row r="147" s="14" customFormat="1" ht="15"/>
    <row r="148" s="14" customFormat="1" ht="15"/>
    <row r="149" s="14" customFormat="1" ht="15"/>
    <row r="150" s="14" customFormat="1" ht="15"/>
    <row r="151" s="14" customFormat="1" ht="15"/>
    <row r="152" s="14" customFormat="1" ht="15"/>
    <row r="153" s="14" customFormat="1" ht="15"/>
    <row r="154" s="14" customFormat="1" ht="15"/>
    <row r="155" s="14" customFormat="1" ht="15"/>
    <row r="156" s="14" customFormat="1" ht="15"/>
    <row r="157" s="14" customFormat="1" ht="15"/>
    <row r="158" s="14" customFormat="1" ht="15"/>
    <row r="159" s="14" customFormat="1" ht="15"/>
    <row r="160" s="14" customFormat="1" ht="15"/>
    <row r="161" s="14" customFormat="1" ht="15"/>
    <row r="162" s="14" customFormat="1" ht="15"/>
    <row r="163" s="14" customFormat="1" ht="15"/>
    <row r="164" s="14" customFormat="1" ht="15"/>
    <row r="165" s="14" customFormat="1" ht="15"/>
    <row r="166" s="14" customFormat="1" ht="15"/>
    <row r="167" s="14" customFormat="1" ht="15"/>
    <row r="168" s="14" customFormat="1" ht="15"/>
    <row r="169" s="14" customFormat="1" ht="15"/>
    <row r="170" s="14" customFormat="1" ht="15"/>
    <row r="171" s="14" customFormat="1" ht="15"/>
    <row r="172" s="14" customFormat="1" ht="15"/>
    <row r="173" s="14" customFormat="1" ht="15"/>
    <row r="174" s="14" customFormat="1" ht="15"/>
    <row r="175" s="14" customFormat="1" ht="15"/>
    <row r="176" s="14" customFormat="1" ht="15"/>
    <row r="177" s="14" customFormat="1" ht="15"/>
    <row r="178" s="14" customFormat="1" ht="15"/>
    <row r="179" s="14" customFormat="1" ht="15"/>
    <row r="180" s="14" customFormat="1" ht="15"/>
    <row r="181" s="14" customFormat="1" ht="15"/>
    <row r="182" s="14" customFormat="1" ht="15"/>
    <row r="183" s="14" customFormat="1" ht="15"/>
    <row r="184" s="14" customFormat="1" ht="15"/>
  </sheetData>
  <mergeCells count="65">
    <mergeCell ref="F8:G8"/>
    <mergeCell ref="H8:J8"/>
    <mergeCell ref="F3:G3"/>
    <mergeCell ref="H3:J3"/>
    <mergeCell ref="F4:G4"/>
    <mergeCell ref="H4:J4"/>
    <mergeCell ref="F5:G5"/>
    <mergeCell ref="H5:J5"/>
    <mergeCell ref="B6:E6"/>
    <mergeCell ref="F6:G6"/>
    <mergeCell ref="H6:J6"/>
    <mergeCell ref="F7:G7"/>
    <mergeCell ref="H7:J7"/>
    <mergeCell ref="B10:D10"/>
    <mergeCell ref="H10:I10"/>
    <mergeCell ref="B12:J12"/>
    <mergeCell ref="B13:H13"/>
    <mergeCell ref="A14:D14"/>
    <mergeCell ref="H14:I14"/>
    <mergeCell ref="J14:K14"/>
    <mergeCell ref="J15:K15"/>
    <mergeCell ref="A16:D16"/>
    <mergeCell ref="H16:I16"/>
    <mergeCell ref="A17:D17"/>
    <mergeCell ref="H17:I17"/>
    <mergeCell ref="A18:D18"/>
    <mergeCell ref="H18:I18"/>
    <mergeCell ref="A19:D19"/>
    <mergeCell ref="H19:I19"/>
    <mergeCell ref="A15:D15"/>
    <mergeCell ref="H15:I15"/>
    <mergeCell ref="J24:K24"/>
    <mergeCell ref="A28:D28"/>
    <mergeCell ref="H28:I28"/>
    <mergeCell ref="J28:K28"/>
    <mergeCell ref="A29:D29"/>
    <mergeCell ref="H29:I29"/>
    <mergeCell ref="A27:D27"/>
    <mergeCell ref="H27:I27"/>
    <mergeCell ref="J31:K31"/>
    <mergeCell ref="A32:G32"/>
    <mergeCell ref="H32:I32"/>
    <mergeCell ref="A30:D30"/>
    <mergeCell ref="H30:I30"/>
    <mergeCell ref="A33:G33"/>
    <mergeCell ref="H33:I33"/>
    <mergeCell ref="A34:C36"/>
    <mergeCell ref="E38:G38"/>
    <mergeCell ref="A24:D24"/>
    <mergeCell ref="H24:I24"/>
    <mergeCell ref="A25:D25"/>
    <mergeCell ref="H25:I25"/>
    <mergeCell ref="A26:D26"/>
    <mergeCell ref="H26:I26"/>
    <mergeCell ref="A31:G31"/>
    <mergeCell ref="H31:I31"/>
    <mergeCell ref="A23:D23"/>
    <mergeCell ref="H23:I23"/>
    <mergeCell ref="A20:D20"/>
    <mergeCell ref="H20:I20"/>
    <mergeCell ref="J20:K20"/>
    <mergeCell ref="A21:D21"/>
    <mergeCell ref="H21:I21"/>
    <mergeCell ref="A22:D22"/>
    <mergeCell ref="H22:I22"/>
  </mergeCells>
  <phoneticPr fontId="20" type="noConversion"/>
  <hyperlinks>
    <hyperlink ref="H7" r:id="rId1" xr:uid="{34685EC5-71D7-4B79-B482-9B7D5C49256D}"/>
  </hyperlinks>
  <printOptions gridLinesSet="0"/>
  <pageMargins left="0.25" right="0.25" top="0.75" bottom="0.75" header="0.3" footer="0.3"/>
  <pageSetup paperSize="9" scale="86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시장검증</vt:lpstr>
      <vt:lpstr>마케팅</vt:lpstr>
      <vt:lpstr>마케팅!Print_Area</vt:lpstr>
      <vt:lpstr>시장검증!Print_Area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Jang YM</dc:creator>
  <cp:lastModifiedBy>박 선애</cp:lastModifiedBy>
  <cp:lastPrinted>2026-04-14T15:50:18Z</cp:lastPrinted>
  <dcterms:created xsi:type="dcterms:W3CDTF">1999-03-18T08:36:55Z</dcterms:created>
  <dcterms:modified xsi:type="dcterms:W3CDTF">2026-08-17T11:55:31Z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-1979181806</vt:i4>
  </property>
  <property fmtid="{D5CDD505-2E9C-101B-9397-08002B2CF9AE}" pid="3" name="_EmailSubject">
    <vt:lpwstr>견적서 및 오레카 자료</vt:lpwstr>
  </property>
  <property fmtid="{D5CDD505-2E9C-101B-9397-08002B2CF9AE}" pid="4" name="_AuthorEmail">
    <vt:lpwstr>elbert@technovalue.com</vt:lpwstr>
  </property>
  <property fmtid="{D5CDD505-2E9C-101B-9397-08002B2CF9AE}" pid="5" name="_AuthorEmailDisplayName">
    <vt:lpwstr>김 형인</vt:lpwstr>
  </property>
  <property fmtid="{D5CDD505-2E9C-101B-9397-08002B2CF9AE}" pid="6" name="_ReviewingToolsShownOnce">
    <vt:lpwstr/>
  </property>
</Properties>
</file>