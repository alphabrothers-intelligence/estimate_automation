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11-02-2301-03\Desktop\송영민\1. 작업폴더\10. 민간 프로젝트\"/>
    </mc:Choice>
  </mc:AlternateContent>
  <xr:revisionPtr revIDLastSave="0" documentId="13_ncr:1_{01E4BB52-EB3D-409F-8731-7BEF2BD1EC3A}" xr6:coauthVersionLast="47" xr6:coauthVersionMax="47" xr10:uidLastSave="{00000000-0000-0000-0000-000000000000}"/>
  <bookViews>
    <workbookView xWindow="4080" yWindow="4080" windowWidth="34560" windowHeight="18600" xr2:uid="{28B5B08B-0F29-459C-8006-35FC6CC10CED}"/>
  </bookViews>
  <sheets>
    <sheet name="시장성테스트" sheetId="6" r:id="rId1"/>
    <sheet name="FGI" sheetId="3" r:id="rId2"/>
    <sheet name="사용성테스트" sheetId="4" r:id="rId3"/>
    <sheet name="기술성테스트" sheetId="5" r:id="rId4"/>
    <sheet name="견적서" sheetId="1" r:id="rId5"/>
    <sheet name="데이터" sheetId="2" state="hidden" r:id="rId6"/>
  </sheets>
  <definedNames>
    <definedName name="_xlnm.Print_Area" localSheetId="1">FGI!$A$1:$AD$47</definedName>
    <definedName name="_xlnm.Print_Area" localSheetId="4">견적서!$A$1:$AD$52</definedName>
    <definedName name="_xlnm.Print_Area" localSheetId="3">기술성테스트!$A$1:$AD$47</definedName>
    <definedName name="_xlnm.Print_Area" localSheetId="2">사용성테스트!$A$1:$AD$47</definedName>
    <definedName name="_xlnm.Print_Area" localSheetId="0">시장성테스트!$A$1:$AD$47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A17" i="5" l="1"/>
  <c r="AA16" i="5"/>
  <c r="AA15" i="5"/>
  <c r="AA14" i="5"/>
  <c r="AA13" i="5"/>
  <c r="AA17" i="4"/>
  <c r="AA16" i="4"/>
  <c r="AA15" i="4"/>
  <c r="AA14" i="4"/>
  <c r="AA13" i="4"/>
  <c r="AA17" i="3"/>
  <c r="AA16" i="3"/>
  <c r="AA15" i="3"/>
  <c r="AA14" i="3"/>
  <c r="AA13" i="3"/>
  <c r="AA17" i="6"/>
  <c r="AA13" i="6"/>
  <c r="P44" i="6"/>
  <c r="P43" i="6"/>
  <c r="P42" i="6"/>
  <c r="P41" i="6"/>
  <c r="O19" i="6"/>
  <c r="P44" i="5"/>
  <c r="P43" i="5"/>
  <c r="P42" i="5"/>
  <c r="U42" i="5" s="1" a="1"/>
  <c r="U42" i="5" s="1"/>
  <c r="P41" i="5"/>
  <c r="O19" i="5"/>
  <c r="P44" i="4"/>
  <c r="P43" i="4"/>
  <c r="P42" i="4"/>
  <c r="P41" i="4"/>
  <c r="O19" i="4"/>
  <c r="P44" i="3"/>
  <c r="P43" i="3"/>
  <c r="U43" i="3" s="1" a="1"/>
  <c r="U43" i="3" s="1"/>
  <c r="Z43" i="3" s="1"/>
  <c r="P42" i="3"/>
  <c r="U42" i="3" s="1" a="1"/>
  <c r="U42" i="3" s="1"/>
  <c r="Z42" i="3" s="1"/>
  <c r="P41" i="3"/>
  <c r="U41" i="3" s="1" a="1"/>
  <c r="U41" i="3" s="1"/>
  <c r="O19" i="3"/>
  <c r="AA16" i="1"/>
  <c r="AA15" i="1"/>
  <c r="AA14" i="1"/>
  <c r="P42" i="1"/>
  <c r="U42" i="1" s="1" a="1"/>
  <c r="U42" i="1" s="1"/>
  <c r="P44" i="1"/>
  <c r="U44" i="1" s="1" a="1"/>
  <c r="U44" i="1" s="1"/>
  <c r="P43" i="1"/>
  <c r="U43" i="1" s="1" a="1"/>
  <c r="U43" i="1" s="1"/>
  <c r="P41" i="1"/>
  <c r="U41" i="1" s="1" a="1"/>
  <c r="U41" i="1" s="1"/>
  <c r="Z41" i="1" s="1"/>
  <c r="AA17" i="1"/>
  <c r="AA13" i="1"/>
  <c r="O19" i="1"/>
  <c r="T18" i="5" l="1"/>
  <c r="E18" i="5" s="1"/>
  <c r="G10" i="5" s="1"/>
  <c r="T18" i="4"/>
  <c r="E18" i="4" s="1"/>
  <c r="G10" i="4" s="1"/>
  <c r="T18" i="3"/>
  <c r="E18" i="3" s="1"/>
  <c r="G10" i="3" s="1"/>
  <c r="T18" i="6"/>
  <c r="E18" i="6" s="1"/>
  <c r="G10" i="6" s="1"/>
  <c r="U43" i="6" a="1"/>
  <c r="U43" i="6" s="1"/>
  <c r="Z43" i="6" s="1"/>
  <c r="U44" i="6" a="1"/>
  <c r="U44" i="6" s="1"/>
  <c r="Z44" i="6" s="1"/>
  <c r="U42" i="6" a="1"/>
  <c r="U42" i="6" s="1"/>
  <c r="Z42" i="6" s="1"/>
  <c r="U41" i="6" a="1"/>
  <c r="U41" i="6" s="1"/>
  <c r="Z41" i="6" s="1"/>
  <c r="Z42" i="5"/>
  <c r="U43" i="5" a="1"/>
  <c r="U43" i="5" s="1"/>
  <c r="Z43" i="5" s="1"/>
  <c r="U44" i="5" a="1"/>
  <c r="U44" i="5" s="1"/>
  <c r="Z44" i="5" s="1"/>
  <c r="U41" i="5" a="1"/>
  <c r="U41" i="5" s="1"/>
  <c r="Z41" i="5" s="1"/>
  <c r="U42" i="4" a="1"/>
  <c r="U42" i="4" s="1"/>
  <c r="Z42" i="4" s="1"/>
  <c r="U43" i="4" a="1"/>
  <c r="U43" i="4" s="1"/>
  <c r="Z43" i="4" s="1"/>
  <c r="U44" i="4" a="1"/>
  <c r="U44" i="4" s="1"/>
  <c r="Z44" i="4" s="1"/>
  <c r="U41" i="4" a="1"/>
  <c r="U41" i="4" s="1"/>
  <c r="Z41" i="4" s="1"/>
  <c r="Z41" i="3"/>
  <c r="U44" i="3" a="1"/>
  <c r="U44" i="3" s="1"/>
  <c r="Z44" i="3" s="1"/>
  <c r="Z43" i="1"/>
  <c r="Z44" i="1"/>
  <c r="Z42" i="1"/>
  <c r="T18" i="1"/>
  <c r="E18" i="1" s="1"/>
  <c r="G1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<sst xmlns="http://schemas.openxmlformats.org/spreadsheetml/2006/main" count="434" uniqueCount="136">
  <si>
    <t>구분(대)</t>
    <phoneticPr fontId="1" type="noConversion"/>
  </si>
  <si>
    <t>구분(중)</t>
    <phoneticPr fontId="1" type="noConversion"/>
  </si>
  <si>
    <t>상품명</t>
    <phoneticPr fontId="1" type="noConversion"/>
  </si>
  <si>
    <t>상품구성</t>
    <phoneticPr fontId="1" type="noConversion"/>
  </si>
  <si>
    <t>작업일</t>
    <phoneticPr fontId="1" type="noConversion"/>
  </si>
  <si>
    <t>수량</t>
    <phoneticPr fontId="1" type="noConversion"/>
  </si>
  <si>
    <t>공급가액</t>
    <phoneticPr fontId="1" type="noConversion"/>
  </si>
  <si>
    <t>공급가액 합계</t>
    <phoneticPr fontId="1" type="noConversion"/>
  </si>
  <si>
    <t>부가세</t>
    <phoneticPr fontId="1" type="noConversion"/>
  </si>
  <si>
    <t>은행명</t>
    <phoneticPr fontId="1" type="noConversion"/>
  </si>
  <si>
    <t>계좌번호</t>
    <phoneticPr fontId="1" type="noConversion"/>
  </si>
  <si>
    <t>예금주</t>
    <phoneticPr fontId="1" type="noConversion"/>
  </si>
  <si>
    <t>아래와 같이 견적합니다.</t>
    <phoneticPr fontId="1" type="noConversion"/>
  </si>
  <si>
    <t>최종제안가 (부가세 포함)</t>
    <phoneticPr fontId="1" type="noConversion"/>
  </si>
  <si>
    <t>공
급
받
는
자</t>
    <phoneticPr fontId="1" type="noConversion"/>
  </si>
  <si>
    <t>공
급
자</t>
    <phoneticPr fontId="1" type="noConversion"/>
  </si>
  <si>
    <t>견적코드</t>
    <phoneticPr fontId="1" type="noConversion"/>
  </si>
  <si>
    <t>사업자번호</t>
    <phoneticPr fontId="1" type="noConversion"/>
  </si>
  <si>
    <t>담당자</t>
    <phoneticPr fontId="1" type="noConversion"/>
  </si>
  <si>
    <t>연락처</t>
    <phoneticPr fontId="1" type="noConversion"/>
  </si>
  <si>
    <t>이메일</t>
    <phoneticPr fontId="1" type="noConversion"/>
  </si>
  <si>
    <t>주식회사 알파브라더스</t>
    <phoneticPr fontId="1" type="noConversion"/>
  </si>
  <si>
    <t>대표이사</t>
    <phoneticPr fontId="1" type="noConversion"/>
  </si>
  <si>
    <t>채중규  (인)</t>
    <phoneticPr fontId="1" type="noConversion"/>
  </si>
  <si>
    <t>김영률 팀장</t>
    <phoneticPr fontId="1" type="noConversion"/>
  </si>
  <si>
    <t>010-2139-7416</t>
    <phoneticPr fontId="1" type="noConversion"/>
  </si>
  <si>
    <t>support@alphabrothers.co.kr</t>
    <phoneticPr fontId="1" type="noConversion"/>
  </si>
  <si>
    <t>803-86-01324</t>
    <phoneticPr fontId="1" type="noConversion"/>
  </si>
  <si>
    <t>견적일자</t>
    <phoneticPr fontId="1" type="noConversion"/>
  </si>
  <si>
    <r>
      <rPr>
        <sz val="6"/>
        <color theme="1"/>
        <rFont val="맑은 고딕"/>
        <family val="3"/>
        <charset val="129"/>
        <scheme val="minor"/>
      </rPr>
      <t xml:space="preserve">
</t>
    </r>
    <r>
      <rPr>
        <sz val="14"/>
        <color theme="1"/>
        <rFont val="맑은 고딕"/>
        <family val="3"/>
        <charset val="129"/>
        <scheme val="minor"/>
      </rPr>
      <t>주식회사 알파브라더스</t>
    </r>
    <r>
      <rPr>
        <sz val="11"/>
        <color theme="1"/>
        <rFont val="맑은 고딕"/>
        <family val="2"/>
        <charset val="129"/>
        <scheme val="minor"/>
      </rPr>
      <t xml:space="preserve">
</t>
    </r>
    <r>
      <rPr>
        <sz val="9"/>
        <color theme="1"/>
        <rFont val="맑은 고딕"/>
        <family val="3"/>
        <charset val="129"/>
        <scheme val="minor"/>
      </rPr>
      <t>서울특별시 강서구 공항대로45길 71, 씨에이치빌딩 3층
E. support@alphabrothers.co.kr</t>
    </r>
    <phoneticPr fontId="1" type="noConversion"/>
  </si>
  <si>
    <r>
      <rPr>
        <b/>
        <sz val="36"/>
        <color theme="1"/>
        <rFont val="맑은 고딕"/>
        <family val="3"/>
        <charset val="129"/>
        <scheme val="minor"/>
      </rPr>
      <t>견 적 서</t>
    </r>
    <r>
      <rPr>
        <b/>
        <sz val="18"/>
        <color theme="1"/>
        <rFont val="맑은 고딕"/>
        <family val="3"/>
        <charset val="129"/>
        <scheme val="minor"/>
      </rPr>
      <t xml:space="preserve">
</t>
    </r>
    <r>
      <rPr>
        <b/>
        <sz val="14"/>
        <color theme="1"/>
        <rFont val="맑은 고딕"/>
        <family val="3"/>
        <charset val="129"/>
        <scheme val="minor"/>
      </rPr>
      <t>Estimate Sheet</t>
    </r>
    <phoneticPr fontId="1" type="noConversion"/>
  </si>
  <si>
    <t>우리은행</t>
    <phoneticPr fontId="1" type="noConversion"/>
  </si>
  <si>
    <t>기업은행</t>
    <phoneticPr fontId="1" type="noConversion"/>
  </si>
  <si>
    <t>신한은행</t>
    <phoneticPr fontId="1" type="noConversion"/>
  </si>
  <si>
    <t>국민은행 [A]</t>
    <phoneticPr fontId="1" type="noConversion"/>
  </si>
  <si>
    <t>국민은행 [B]</t>
  </si>
  <si>
    <t>국민은행 [B]</t>
    <phoneticPr fontId="1" type="noConversion"/>
  </si>
  <si>
    <t xml:space="preserve"> 본 견적서는 견적일자로부터 14일간 유효하며 이후 상세 상품 구성 및 최종제안가는 상호 협의하에 변경될 수 있습니다.</t>
    <phoneticPr fontId="1" type="noConversion"/>
  </si>
  <si>
    <t xml:space="preserve"> 제작이 완료된 결과물은 주식회사 알파브라더스의 포트폴리오로 활용될 수 있습니다.</t>
    <phoneticPr fontId="1" type="noConversion"/>
  </si>
  <si>
    <t xml:space="preserve"> 해당 계약은 "공급자"가 제작이 완료된 결과물을 모두 "공급받는자"에게 제공할 경우 계약 내용을 모두 이행한 것으로 간주합니다.</t>
    <phoneticPr fontId="1" type="noConversion"/>
  </si>
  <si>
    <t>상호명</t>
    <phoneticPr fontId="1" type="noConversion"/>
  </si>
  <si>
    <t>단가</t>
    <phoneticPr fontId="1" type="noConversion"/>
  </si>
  <si>
    <t>개발
사항</t>
    <phoneticPr fontId="1" type="noConversion"/>
  </si>
  <si>
    <t>특약
사항</t>
    <phoneticPr fontId="1" type="noConversion"/>
  </si>
  <si>
    <t xml:space="preserve"> 업무에 필요한 모든 원시자료는 "공급받는자"가 제공함을 원칙으로 합니다.</t>
    <phoneticPr fontId="1" type="noConversion"/>
  </si>
  <si>
    <t xml:space="preserve"> 단가 산정은 직접인건비(월) + 제경비 + 기술료 금액입니다.</t>
    <phoneticPr fontId="1" type="noConversion"/>
  </si>
  <si>
    <t xml:space="preserve"> 상용 이미지 단가는 별도 산정하며 사용된 이미지에 대한 라이선스는 판매사의 정책에 따릅니다.</t>
    <phoneticPr fontId="1" type="noConversion"/>
  </si>
  <si>
    <t xml:space="preserve"> H/W 및 S/W 도입 필요시 관련 견적은 상호간에 별도 산정하여 진행합니다.</t>
    <phoneticPr fontId="1" type="noConversion"/>
  </si>
  <si>
    <t xml:space="preserve"> 유지보수와 관련한 사항은 계약 성사 전 상호간에 협의한 내용에 따릅니다.</t>
    <phoneticPr fontId="1" type="noConversion"/>
  </si>
  <si>
    <t>기술자 구분</t>
    <phoneticPr fontId="1" type="noConversion"/>
  </si>
  <si>
    <t>제경비 (110%)</t>
    <phoneticPr fontId="1" type="noConversion"/>
  </si>
  <si>
    <t>기술료 (20%)</t>
    <phoneticPr fontId="1" type="noConversion"/>
  </si>
  <si>
    <t>합계</t>
    <phoneticPr fontId="1" type="noConversion"/>
  </si>
  <si>
    <t>일평균임금 (M/D)</t>
    <phoneticPr fontId="1" type="noConversion"/>
  </si>
  <si>
    <t>월평균임금 (M/M)</t>
    <phoneticPr fontId="1" type="noConversion"/>
  </si>
  <si>
    <t>UX/UI 디자이너</t>
    <phoneticPr fontId="1" type="noConversion"/>
  </si>
  <si>
    <t>UX/UI 기획자</t>
    <phoneticPr fontId="1" type="noConversion"/>
  </si>
  <si>
    <t>UX/UI 개발자</t>
    <phoneticPr fontId="1" type="noConversion"/>
  </si>
  <si>
    <t xml:space="preserve"> 본 견적서는 "2023년 적용 SW기술자 평균임금 공표"를 근거로 단가를 산정했습니다.</t>
    <phoneticPr fontId="1" type="noConversion"/>
  </si>
  <si>
    <t>IT 프로젝트관리자 (PM)</t>
    <phoneticPr fontId="1" type="noConversion"/>
  </si>
  <si>
    <r>
      <t xml:space="preserve"> 계약 성사시 최종제안가는 </t>
    </r>
    <r>
      <rPr>
        <b/>
        <u/>
        <sz val="11"/>
        <color theme="1"/>
        <rFont val="맑은 고딕"/>
        <family val="3"/>
        <charset val="129"/>
        <scheme val="minor"/>
      </rPr>
      <t>작업 시작 전 선불로 일시납</t>
    </r>
    <r>
      <rPr>
        <sz val="11"/>
        <color theme="1"/>
        <rFont val="맑은 고딕"/>
        <family val="2"/>
        <charset val="129"/>
        <scheme val="minor"/>
      </rPr>
      <t>합니다.</t>
    </r>
    <phoneticPr fontId="1" type="noConversion"/>
  </si>
  <si>
    <t xml:space="preserve"> 사진 추가(보정 포함)의 경우 1컷당 단가 5만원이 추가됩니다.</t>
    <phoneticPr fontId="1" type="noConversion"/>
  </si>
  <si>
    <t xml:space="preserve"> 호리존 스튜디오 (자사 보유)가 아닌 자연광 콘셉트를 원하실 경우, 스튜디오 렌탈비용은 협의 후 실비로 청구됩니다.</t>
    <phoneticPr fontId="1" type="noConversion"/>
  </si>
  <si>
    <t xml:space="preserve"> 전문 모델 비용은 원하시는 모델에 따라 비용이 상이하며, 사전 협의 후 실비로 청구됩니다.</t>
    <phoneticPr fontId="1" type="noConversion"/>
  </si>
  <si>
    <t xml:space="preserve"> 전문 모델 기용시 헤어&amp;메이크업&amp;스타일링 전문가 기용이 추가로 필요하며, 사전 협의 후 진행하여 실비로 청구됩니다.</t>
    <phoneticPr fontId="1" type="noConversion"/>
  </si>
  <si>
    <t xml:space="preserve"> 계약 성사시 최종제안가는 작업 시작 전 선불로 일시납합니다.</t>
  </si>
  <si>
    <r>
      <t xml:space="preserve"> 계약 성사시 최종제안가는 </t>
    </r>
    <r>
      <rPr>
        <b/>
        <u/>
        <sz val="11"/>
        <color theme="1"/>
        <rFont val="맑은 고딕"/>
        <family val="3"/>
        <charset val="129"/>
        <scheme val="minor"/>
      </rPr>
      <t>작업 시작 전 선금 50% 작업 완료 후 잔금 50%로 분할납</t>
    </r>
    <r>
      <rPr>
        <sz val="11"/>
        <color theme="1"/>
        <rFont val="맑은 고딕"/>
        <family val="2"/>
        <charset val="129"/>
        <scheme val="minor"/>
      </rPr>
      <t>합니다.</t>
    </r>
    <phoneticPr fontId="1" type="noConversion"/>
  </si>
  <si>
    <r>
      <t xml:space="preserve"> 계약 성사시 최종제안가는 </t>
    </r>
    <r>
      <rPr>
        <b/>
        <u/>
        <sz val="11"/>
        <color theme="1"/>
        <rFont val="맑은 고딕"/>
        <family val="3"/>
        <charset val="129"/>
        <scheme val="minor"/>
      </rPr>
      <t>작업 완료 후 후불로 일시납</t>
    </r>
    <r>
      <rPr>
        <sz val="11"/>
        <color theme="1"/>
        <rFont val="맑은 고딕"/>
        <family val="2"/>
        <charset val="129"/>
        <scheme val="minor"/>
      </rPr>
      <t>합니다.</t>
    </r>
    <phoneticPr fontId="1" type="noConversion"/>
  </si>
  <si>
    <t xml:space="preserve"> ◈ 2023년 적용 SW기술자 평균임금 공표</t>
    <phoneticPr fontId="1" type="noConversion"/>
  </si>
  <si>
    <t xml:space="preserve"> 손모델 기용을 원하실 경우, 단가 20만원이 추가됩니다.</t>
    <phoneticPr fontId="1" type="noConversion"/>
  </si>
  <si>
    <t xml:space="preserve"> GIF 영상을 추가로 제작 요청하실 경우 1건당 단가 10만원이 추가됩니다.</t>
    <phoneticPr fontId="1" type="noConversion"/>
  </si>
  <si>
    <t>2023.03.30</t>
    <phoneticPr fontId="1" type="noConversion"/>
  </si>
  <si>
    <t>20230330-EA001</t>
    <phoneticPr fontId="1" type="noConversion"/>
  </si>
  <si>
    <t>상상특허법률사무소</t>
    <phoneticPr fontId="1" type="noConversion"/>
  </si>
  <si>
    <t>서평강 대표</t>
    <phoneticPr fontId="1" type="noConversion"/>
  </si>
  <si>
    <t>sspat@sspat.net</t>
    <phoneticPr fontId="1" type="noConversion"/>
  </si>
  <si>
    <t>022-6646-3744</t>
    <phoneticPr fontId="1" type="noConversion"/>
  </si>
  <si>
    <t>BM 진단 및 고도화</t>
    <phoneticPr fontId="1" type="noConversion"/>
  </si>
  <si>
    <t>시장검증</t>
    <phoneticPr fontId="1" type="noConversion"/>
  </si>
  <si>
    <t>1. Business Model 9 Canvas 작성 및 분석
2. Value Curve 작성 및 분석
3. 디자인씽킹 기반의 BM 분석
4. 진단 결과 보고</t>
    <phoneticPr fontId="1" type="noConversion"/>
  </si>
  <si>
    <t>FGI (심층 그룹 인터뷰)</t>
    <phoneticPr fontId="1" type="noConversion"/>
  </si>
  <si>
    <t>1. 잠재고객 기반의 인터뷰이 6인 모집
2. 고객여정지도 분석
3. Macro/Micro 기반의 스크립트 작성
4. 그룹인터뷰 실시 
5. 인터뷰 결과 보고서 제작</t>
    <phoneticPr fontId="1" type="noConversion"/>
  </si>
  <si>
    <t>1. 잠재고객 기반의 사용성 테스터 100인 모집
2.고객여정지도 분석 기반의 테스트 설계
3. 경쟁사 비교 만족도 분석, NPS 지수 조사, 4대 가치별 만족도 조사
4. 테스트 결과 보고</t>
    <phoneticPr fontId="1" type="noConversion"/>
  </si>
  <si>
    <t>사용성 테스트</t>
    <phoneticPr fontId="1" type="noConversion"/>
  </si>
  <si>
    <t>기술성 테스트</t>
    <phoneticPr fontId="1" type="noConversion"/>
  </si>
  <si>
    <t>1. ISTQB 자격증 소지자 및 개발 경력 10년 이상 테스터 5인 모집
2. 오류 및 결함 발견 1차 테스트를 통한 150개 이상 도출
3. 개선 기간 이후 2차 결함 발견 및 진단 테스트
4. 진단 결과 보고</t>
    <phoneticPr fontId="1" type="noConversion"/>
  </si>
  <si>
    <t>시장성 테스트</t>
    <phoneticPr fontId="1" type="noConversion"/>
  </si>
  <si>
    <t>1. 진단 결과를 기반으로 MVP 가설 수립
2. MVP 광고안 제작
3. 메타 플랫폼 기반의 시장성 테스트
4. 시장성데이터 분석 및 결과보고</t>
    <phoneticPr fontId="1" type="noConversion"/>
  </si>
  <si>
    <t>시장성 검증</t>
    <phoneticPr fontId="1" type="noConversion"/>
  </si>
  <si>
    <t>시장성테스트</t>
    <phoneticPr fontId="1" type="noConversion"/>
  </si>
  <si>
    <t>MVP 광고안 기획</t>
    <phoneticPr fontId="1" type="noConversion"/>
  </si>
  <si>
    <t>데이터 분석</t>
    <phoneticPr fontId="1" type="noConversion"/>
  </si>
  <si>
    <t>결과 리포트 제공</t>
    <phoneticPr fontId="1" type="noConversion"/>
  </si>
  <si>
    <t>FGI
(Focus
Group
Interview,
심층좌담회)</t>
    <phoneticPr fontId="1" type="noConversion"/>
  </si>
  <si>
    <t>사용성
테스트</t>
    <phoneticPr fontId="1" type="noConversion"/>
  </si>
  <si>
    <t>기술성
테스트</t>
    <phoneticPr fontId="1" type="noConversion"/>
  </si>
  <si>
    <t>1. P-S-S-T 기반 Value Proposition MVP 기획
2. 15,000~20,000 px, 3~4개 분량의 상세페이지 기획
3. MVP A/B 테스트 기반 3~4개 분량 썸네일 기획</t>
    <phoneticPr fontId="1" type="noConversion"/>
  </si>
  <si>
    <t>MVP 제작</t>
    <phoneticPr fontId="1" type="noConversion"/>
  </si>
  <si>
    <t>1. 페이스북, 인스타그램 광고 데이터 분석
2. 고관여자 설문 데이터 분석
3. 정성데이터(주관식 설문) 자연어 처리
4. 정량데이터 시각화 처리 
5. 경쟁사 시장성데이터 비교 분석</t>
    <phoneticPr fontId="1" type="noConversion"/>
  </si>
  <si>
    <t>1. 시장성 데이터 분석 리포트 제작
2. 분석 결과 보고</t>
    <phoneticPr fontId="1" type="noConversion"/>
  </si>
  <si>
    <t>인터뷰이 모집</t>
    <phoneticPr fontId="1" type="noConversion"/>
  </si>
  <si>
    <t>1. 잠재고객 기반 특성과 유사한 인터뷰이 모집 (3~5인)
2. 고객여정지도 분석
3. Macro/Micro 기반의 스크립트 작성
4. 그룹인터뷰 실시 
5. 인터뷰 결과 보고서 제작</t>
    <phoneticPr fontId="1" type="noConversion"/>
  </si>
  <si>
    <t>인터뷰 스크립트 작성</t>
    <phoneticPr fontId="1" type="noConversion"/>
  </si>
  <si>
    <t>인터뷰 진행</t>
    <phoneticPr fontId="1" type="noConversion"/>
  </si>
  <si>
    <t xml:space="preserve">1. Macro/Micro 분석 스크립트
2. 기능적 관점의 Pain Point 및 Gain Point 도출
3. 경쟁사 비교 만족도 분석, NPS 지수 조사, 4대 가치별 만족도 조사 </t>
    <phoneticPr fontId="1" type="noConversion"/>
  </si>
  <si>
    <t>1. 인터뷰 장소 대관
2. 2~3시간 인터뷰 진행
3. 모더레이터 및 스크립터 투입 및 운영</t>
    <phoneticPr fontId="1" type="noConversion"/>
  </si>
  <si>
    <t>1. FGI 결과 및 분석 리포트 제작
2. 분석 결과 보고</t>
    <phoneticPr fontId="1" type="noConversion"/>
  </si>
  <si>
    <t>테스트 운영</t>
    <phoneticPr fontId="1" type="noConversion"/>
  </si>
  <si>
    <t xml:space="preserve">1. B2C 제품, 100명 내외 잠재고객 테스터 모집 
   B2B 제품, 30명 내외 잠재고객 테스터 모집
2. MVP TEST 플랫폼을 통해 참석 의향 및 테스터 승인 </t>
    <phoneticPr fontId="1" type="noConversion"/>
  </si>
  <si>
    <t>1. 2주간 체험 기간 운영
2. 설문 참여율, 성실도 추적 관리
3. 리워드 보상 관리
4. 우수 테스터 선정</t>
    <phoneticPr fontId="1" type="noConversion"/>
  </si>
  <si>
    <t>테스터 설계</t>
    <phoneticPr fontId="1" type="noConversion"/>
  </si>
  <si>
    <t>1. MVP TEST 플랫폼 내 모집, 체험, 데이터 수집 기간 시스템 설정
2. 기능별 설문지 기획 
3. NPS, 4대 가치 만족도, 경쟁사 대비 우위,열위 영역 설문지 기획</t>
    <phoneticPr fontId="1" type="noConversion"/>
  </si>
  <si>
    <t>1. 사용성테스트 결과 및 분석 리포트 제작
2. 분석 결과 보고</t>
    <phoneticPr fontId="1" type="noConversion"/>
  </si>
  <si>
    <t>기술성 테스트 설계</t>
    <phoneticPr fontId="1" type="noConversion"/>
  </si>
  <si>
    <t>일반테스터 모집</t>
    <phoneticPr fontId="1" type="noConversion"/>
  </si>
  <si>
    <t>전문테스터 모집</t>
    <phoneticPr fontId="1" type="noConversion"/>
  </si>
  <si>
    <t>1. 오류 및 결함 발견 1차 테스트를 통한 150개 이상 도출
2. 개선 기간 이후 2차 결함 발견 및 진단 테스트</t>
    <phoneticPr fontId="1" type="noConversion"/>
  </si>
  <si>
    <t>1,2차 테스트 운영</t>
    <phoneticPr fontId="1" type="noConversion"/>
  </si>
  <si>
    <t>1. ISTQB 자격증 소지자 테스터 모집
2. SW개발 경력 10년 이상 테스터 모집 
3. MVP TEST 플랫폼 내 모집 운영</t>
    <phoneticPr fontId="1" type="noConversion"/>
  </si>
  <si>
    <t>1. 기능별 결함 발견 설문지 기획
2. 결함 수준별 카테고리화 설계</t>
    <phoneticPr fontId="1" type="noConversion"/>
  </si>
  <si>
    <t>1. 기술성테스트 결과 및 분석 리포트 제작
2. 분석 결과 보고</t>
    <phoneticPr fontId="1" type="noConversion"/>
  </si>
  <si>
    <t>김재훈 이사</t>
    <phoneticPr fontId="1" type="noConversion"/>
  </si>
  <si>
    <t>010-9003-6838</t>
    <phoneticPr fontId="1" type="noConversion"/>
  </si>
  <si>
    <t>kjh@alphabrothers.co.kr</t>
    <phoneticPr fontId="1" type="noConversion"/>
  </si>
  <si>
    <t>20240415-EA001</t>
    <phoneticPr fontId="1" type="noConversion"/>
  </si>
  <si>
    <t>한국전자기술연구원</t>
    <phoneticPr fontId="1" type="noConversion"/>
  </si>
  <si>
    <t>양호현 연구원</t>
    <phoneticPr fontId="1" type="noConversion"/>
  </si>
  <si>
    <t>didghgus@keti.re.kr</t>
    <phoneticPr fontId="1" type="noConversion"/>
  </si>
  <si>
    <t>주식회사 어니티</t>
    <phoneticPr fontId="1" type="noConversion"/>
  </si>
  <si>
    <t>김현영 팀장</t>
    <phoneticPr fontId="1" type="noConversion"/>
  </si>
  <si>
    <t>010-7584-5288</t>
    <phoneticPr fontId="1" type="noConversion"/>
  </si>
  <si>
    <t>aneaty@naver.com</t>
    <phoneticPr fontId="1" type="noConversion"/>
  </si>
  <si>
    <t>sym@alphabrothers.co.kr</t>
    <phoneticPr fontId="1" type="noConversion"/>
  </si>
  <si>
    <t>송영민 팀장</t>
    <phoneticPr fontId="1" type="noConversion"/>
  </si>
  <si>
    <t>010-8221-6518</t>
    <phoneticPr fontId="1" type="noConversion"/>
  </si>
  <si>
    <t>1. 3개 분량의 MVP 상세페이지 디자인 작업
2. 3개 분량의 MVP 썸네일 디자인 작업
3. MVP별 랜딩페이지 구축
4. GA 등 데이터 분석 Tool 구축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</si>
</sst>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₩&quot;* #,##0_-;\-&quot;₩&quot;* #,##0_-;_-&quot;₩&quot;* &quot;-&quot;_-;_-@_-"/>
    <numFmt numFmtId="176" formatCode="&quot;₩&quot;#,##0_);[Red]\(&quot;₩&quot;#,##0\)"/>
  </numFmts>
  <fonts count="1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6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u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auto="1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</cellStyleXfs>
  <cellXfs count="91">
    <xf numFmtId="0" fontId="0" fillId="0" borderId="0" xfId="0">
      <alignment vertical="center"/>
    </xf>
    <xf numFmtId="0" fontId="7" fillId="0" borderId="0" xfId="0" applyFont="1">
      <alignment vertical="center"/>
    </xf>
    <xf numFmtId="0" fontId="0" fillId="0" borderId="24" xfId="0" applyBorder="1">
      <alignment vertical="center"/>
    </xf>
    <xf numFmtId="0" fontId="0" fillId="0" borderId="0" xfId="0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2" borderId="0" xfId="0" applyFill="1">
      <alignment vertical="center"/>
    </xf>
    <xf numFmtId="0" fontId="0" fillId="0" borderId="29" xfId="0" applyBorder="1">
      <alignment vertical="center"/>
    </xf>
    <xf numFmtId="0" fontId="9" fillId="0" borderId="19" xfId="0" applyFont="1" applyBorder="1" applyAlignment="1">
      <alignment horizontal="center" vertical="top" wrapText="1"/>
    </xf>
    <xf numFmtId="0" fontId="0" fillId="0" borderId="19" xfId="0" applyBorder="1" applyAlignment="1">
      <alignment horizontal="center" vertical="top"/>
    </xf>
    <xf numFmtId="0" fontId="6" fillId="0" borderId="12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176" fontId="6" fillId="0" borderId="7" xfId="0" applyNumberFormat="1" applyFont="1" applyBorder="1" applyAlignment="1">
      <alignment horizontal="right" vertical="center"/>
    </xf>
    <xf numFmtId="176" fontId="6" fillId="0" borderId="12" xfId="0" applyNumberFormat="1" applyFont="1" applyBorder="1" applyAlignment="1">
      <alignment horizontal="right" vertical="center"/>
    </xf>
    <xf numFmtId="176" fontId="6" fillId="0" borderId="6" xfId="0" applyNumberFormat="1" applyFont="1" applyBorder="1" applyAlignment="1">
      <alignment horizontal="right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4" fillId="2" borderId="19" xfId="0" applyFont="1" applyFill="1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176" fontId="9" fillId="0" borderId="12" xfId="0" applyNumberFormat="1" applyFont="1" applyBorder="1" applyAlignment="1">
      <alignment horizontal="right" vertical="center"/>
    </xf>
    <xf numFmtId="176" fontId="9" fillId="0" borderId="6" xfId="0" applyNumberFormat="1" applyFont="1" applyBorder="1" applyAlignment="1">
      <alignment horizontal="right" vertical="center"/>
    </xf>
    <xf numFmtId="176" fontId="9" fillId="0" borderId="7" xfId="0" applyNumberFormat="1" applyFont="1" applyBorder="1" applyAlignment="1">
      <alignment horizontal="right" vertical="center"/>
    </xf>
    <xf numFmtId="0" fontId="9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0" xfId="2" applyNumberFormat="1" applyFont="1" applyBorder="1" applyAlignment="1">
      <alignment horizontal="center" vertical="center"/>
    </xf>
    <xf numFmtId="0" fontId="9" fillId="0" borderId="11" xfId="2" applyNumberFormat="1" applyFont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176" fontId="4" fillId="0" borderId="23" xfId="0" applyNumberFormat="1" applyFont="1" applyBorder="1" applyAlignment="1">
      <alignment horizontal="right" vertical="center"/>
    </xf>
    <xf numFmtId="0" fontId="4" fillId="3" borderId="23" xfId="0" applyFont="1" applyFill="1" applyBorder="1" applyAlignment="1">
      <alignment horizontal="center" vertical="center"/>
    </xf>
    <xf numFmtId="176" fontId="4" fillId="0" borderId="18" xfId="0" applyNumberFormat="1" applyFont="1" applyBorder="1" applyAlignment="1">
      <alignment horizontal="right" vertical="center"/>
    </xf>
    <xf numFmtId="176" fontId="4" fillId="0" borderId="19" xfId="0" applyNumberFormat="1" applyFont="1" applyBorder="1" applyAlignment="1">
      <alignment horizontal="right" vertical="center"/>
    </xf>
    <xf numFmtId="0" fontId="5" fillId="0" borderId="18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176" fontId="2" fillId="0" borderId="16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7" fillId="0" borderId="4" xfId="0" applyFont="1" applyBorder="1" applyAlignment="1">
      <alignment horizontal="right" vertical="center"/>
    </xf>
    <xf numFmtId="0" fontId="7" fillId="0" borderId="4" xfId="0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4" fontId="9" fillId="0" borderId="2" xfId="0" applyNumberFormat="1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8" fillId="0" borderId="1" xfId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</cellXfs>
  <cellStyles count="3">
    <cellStyle name="통화 [0]" xfId="2" builtinId="7"/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247651</xdr:colOff>
      <xdr:row>3</xdr:row>
      <xdr:rowOff>361951</xdr:rowOff>
    </xdr:from>
    <xdr:to>
      <xdr:col>30</xdr:col>
      <xdr:colOff>1</xdr:colOff>
      <xdr:row>5</xdr:row>
      <xdr:rowOff>95251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47D4D98-849A-6E45-ACFA-B4D601AF32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38051" y="2139951"/>
          <a:ext cx="615950" cy="622300"/>
        </a:xfrm>
        <a:prstGeom prst="rect">
          <a:avLst/>
        </a:prstGeom>
      </xdr:spPr>
    </xdr:pic>
    <xdr:clientData/>
  </xdr:twoCellAnchor>
  <xdr:twoCellAnchor editAs="oneCell">
    <xdr:from>
      <xdr:col>28</xdr:col>
      <xdr:colOff>247651</xdr:colOff>
      <xdr:row>3</xdr:row>
      <xdr:rowOff>361951</xdr:rowOff>
    </xdr:from>
    <xdr:to>
      <xdr:col>30</xdr:col>
      <xdr:colOff>1</xdr:colOff>
      <xdr:row>5</xdr:row>
      <xdr:rowOff>95251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C75021-1530-994C-A0B3-63AC9EC593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38051" y="2139951"/>
          <a:ext cx="615950" cy="622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247651</xdr:colOff>
      <xdr:row>3</xdr:row>
      <xdr:rowOff>361951</xdr:rowOff>
    </xdr:from>
    <xdr:to>
      <xdr:col>30</xdr:col>
      <xdr:colOff>1</xdr:colOff>
      <xdr:row>5</xdr:row>
      <xdr:rowOff>95251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A2A2A10-D9A6-474F-B08C-E92280BE59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38051" y="2139951"/>
          <a:ext cx="615950" cy="622300"/>
        </a:xfrm>
        <a:prstGeom prst="rect">
          <a:avLst/>
        </a:prstGeom>
      </xdr:spPr>
    </xdr:pic>
    <xdr:clientData/>
  </xdr:twoCellAnchor>
  <xdr:twoCellAnchor editAs="oneCell">
    <xdr:from>
      <xdr:col>28</xdr:col>
      <xdr:colOff>247651</xdr:colOff>
      <xdr:row>3</xdr:row>
      <xdr:rowOff>361951</xdr:rowOff>
    </xdr:from>
    <xdr:to>
      <xdr:col>30</xdr:col>
      <xdr:colOff>1</xdr:colOff>
      <xdr:row>5</xdr:row>
      <xdr:rowOff>95251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B971EF8-3536-2246-B7BD-73AC8D74C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38051" y="2139951"/>
          <a:ext cx="615950" cy="622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247651</xdr:colOff>
      <xdr:row>3</xdr:row>
      <xdr:rowOff>361951</xdr:rowOff>
    </xdr:from>
    <xdr:to>
      <xdr:col>30</xdr:col>
      <xdr:colOff>1</xdr:colOff>
      <xdr:row>5</xdr:row>
      <xdr:rowOff>95251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9A21750-F3A0-C544-AC0B-072F9685B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38051" y="2139951"/>
          <a:ext cx="615950" cy="622300"/>
        </a:xfrm>
        <a:prstGeom prst="rect">
          <a:avLst/>
        </a:prstGeom>
      </xdr:spPr>
    </xdr:pic>
    <xdr:clientData/>
  </xdr:twoCellAnchor>
  <xdr:twoCellAnchor editAs="oneCell">
    <xdr:from>
      <xdr:col>28</xdr:col>
      <xdr:colOff>247651</xdr:colOff>
      <xdr:row>3</xdr:row>
      <xdr:rowOff>361951</xdr:rowOff>
    </xdr:from>
    <xdr:to>
      <xdr:col>30</xdr:col>
      <xdr:colOff>1</xdr:colOff>
      <xdr:row>5</xdr:row>
      <xdr:rowOff>95251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9CA654B-4D19-B44A-9563-FD21F9879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38051" y="2139951"/>
          <a:ext cx="615950" cy="6223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247651</xdr:colOff>
      <xdr:row>3</xdr:row>
      <xdr:rowOff>361951</xdr:rowOff>
    </xdr:from>
    <xdr:to>
      <xdr:col>30</xdr:col>
      <xdr:colOff>1</xdr:colOff>
      <xdr:row>5</xdr:row>
      <xdr:rowOff>95251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9C59412-7B98-9D45-98E5-9F1B32033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38051" y="2139951"/>
          <a:ext cx="615950" cy="6223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247651</xdr:colOff>
      <xdr:row>3</xdr:row>
      <xdr:rowOff>361951</xdr:rowOff>
    </xdr:from>
    <xdr:to>
      <xdr:col>30</xdr:col>
      <xdr:colOff>1</xdr:colOff>
      <xdr:row>5</xdr:row>
      <xdr:rowOff>95251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11C3E41-528C-FF57-F2CA-33FFF92E6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77401" y="2124076"/>
          <a:ext cx="609600" cy="609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neaty@naver.com" TargetMode="External"/><Relationship Id="rId1" Type="http://schemas.openxmlformats.org/officeDocument/2006/relationships/hyperlink" Target="mailto:sym@alphabrothers.co.kr" TargetMode="External"/><Relationship Id="rId6" Type="http://schemas.openxmlformats.org/officeDocument/2006/relationships/image" Target="../media/image1.png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didghgus@keti.re.kr" TargetMode="External"/><Relationship Id="rId1" Type="http://schemas.openxmlformats.org/officeDocument/2006/relationships/hyperlink" Target="mailto:kjh@alphabrothers.co.kr" TargetMode="External"/><Relationship Id="rId6" Type="http://schemas.openxmlformats.org/officeDocument/2006/relationships/image" Target="../media/image1.png"/><Relationship Id="rId5" Type="http://schemas.openxmlformats.org/officeDocument/2006/relationships/vmlDrawing" Target="../drawings/vmlDrawing2.v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didghgus@keti.re.kr" TargetMode="External"/><Relationship Id="rId1" Type="http://schemas.openxmlformats.org/officeDocument/2006/relationships/hyperlink" Target="mailto:kjh@alphabrothers.co.kr" TargetMode="External"/><Relationship Id="rId6" Type="http://schemas.openxmlformats.org/officeDocument/2006/relationships/image" Target="../media/image1.png"/><Relationship Id="rId5" Type="http://schemas.openxmlformats.org/officeDocument/2006/relationships/vmlDrawing" Target="../drawings/vmlDrawing3.v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didghgus@keti.re.kr" TargetMode="External"/><Relationship Id="rId1" Type="http://schemas.openxmlformats.org/officeDocument/2006/relationships/hyperlink" Target="mailto:kjh@alphabrothers.co.kr" TargetMode="External"/><Relationship Id="rId6" Type="http://schemas.openxmlformats.org/officeDocument/2006/relationships/image" Target="../media/image1.png"/><Relationship Id="rId5" Type="http://schemas.openxmlformats.org/officeDocument/2006/relationships/vmlDrawing" Target="../drawings/vmlDrawing4.vml"/><Relationship Id="rId4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mailto:sspat@sspat.net" TargetMode="External"/><Relationship Id="rId1" Type="http://schemas.openxmlformats.org/officeDocument/2006/relationships/hyperlink" Target="mailto:support@alphabrothers.co.kr" TargetMode="External"/><Relationship Id="rId6" Type="http://schemas.openxmlformats.org/officeDocument/2006/relationships/image" Target="../media/image4.jpeg"/><Relationship Id="rId5" Type="http://schemas.openxmlformats.org/officeDocument/2006/relationships/vmlDrawing" Target="../drawings/vmlDrawing5.vml"/><Relationship Id="rId4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D8FB0-904A-1847-9B17-827BA425AC17}">
  <sheetPr>
    <pageSetUpPr fitToPage="1"/>
  </sheetPr>
  <dimension ref="A1:AD54"/>
  <sheetViews>
    <sheetView showGridLines="0" tabSelected="1" view="pageBreakPreview" zoomScaleNormal="100" zoomScaleSheetLayoutView="100" workbookViewId="0">
      <selection sqref="A1:AD1"/>
    </sheetView>
  </sheetViews>
  <sheetFormatPr defaultColWidth="8.796875" defaultRowHeight="17.399999999999999" x14ac:dyDescent="0.4"/>
  <cols>
    <col min="1" max="3" width="5.69921875" customWidth="1"/>
    <col min="4" max="4" width="7.19921875" customWidth="1"/>
    <col min="5" max="30" width="5.69921875" customWidth="1"/>
  </cols>
  <sheetData>
    <row r="1" spans="1:30" ht="100.05" customHeight="1" x14ac:dyDescent="0.6">
      <c r="A1" s="80" t="s">
        <v>30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</row>
    <row r="2" spans="1:30" ht="19.95" customHeight="1" x14ac:dyDescent="0.6">
      <c r="A2" s="80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</row>
    <row r="3" spans="1:30" ht="19.95" customHeight="1" thickBot="1" x14ac:dyDescent="0.45">
      <c r="A3" s="63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74"/>
      <c r="T3" s="74"/>
      <c r="U3" s="74"/>
      <c r="V3" s="3"/>
      <c r="W3" s="3"/>
      <c r="X3" s="3"/>
      <c r="Y3" s="1"/>
      <c r="Z3" s="81" t="s">
        <v>16</v>
      </c>
      <c r="AA3" s="81"/>
      <c r="AB3" s="82" t="s">
        <v>124</v>
      </c>
      <c r="AC3" s="82"/>
      <c r="AD3" s="82"/>
    </row>
    <row r="4" spans="1:30" ht="34.950000000000003" customHeight="1" thickTop="1" x14ac:dyDescent="0.4">
      <c r="A4" s="83" t="s">
        <v>14</v>
      </c>
      <c r="B4" s="85" t="s">
        <v>28</v>
      </c>
      <c r="C4" s="85"/>
      <c r="D4" s="86">
        <v>45497</v>
      </c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7" t="s">
        <v>15</v>
      </c>
      <c r="Q4" s="85" t="s">
        <v>17</v>
      </c>
      <c r="R4" s="85"/>
      <c r="S4" s="78" t="s">
        <v>27</v>
      </c>
      <c r="T4" s="78"/>
      <c r="U4" s="78"/>
      <c r="V4" s="78"/>
      <c r="W4" s="78"/>
      <c r="X4" s="78"/>
      <c r="Y4" s="78"/>
      <c r="Z4" s="78"/>
      <c r="AA4" s="78"/>
      <c r="AB4" s="78"/>
      <c r="AC4" s="78"/>
      <c r="AD4" s="79"/>
    </row>
    <row r="5" spans="1:30" ht="34.950000000000003" customHeight="1" x14ac:dyDescent="0.4">
      <c r="A5" s="84"/>
      <c r="B5" s="77" t="s">
        <v>40</v>
      </c>
      <c r="C5" s="77"/>
      <c r="D5" s="77" t="s">
        <v>128</v>
      </c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88"/>
      <c r="Q5" s="77" t="s">
        <v>40</v>
      </c>
      <c r="R5" s="77"/>
      <c r="S5" s="33" t="s">
        <v>21</v>
      </c>
      <c r="T5" s="34"/>
      <c r="U5" s="34"/>
      <c r="V5" s="34"/>
      <c r="W5" s="34"/>
      <c r="X5" s="34"/>
      <c r="Y5" s="44"/>
      <c r="Z5" s="33" t="s">
        <v>22</v>
      </c>
      <c r="AA5" s="44"/>
      <c r="AB5" s="33" t="s">
        <v>23</v>
      </c>
      <c r="AC5" s="34"/>
      <c r="AD5" s="34"/>
    </row>
    <row r="6" spans="1:30" ht="34.950000000000003" customHeight="1" x14ac:dyDescent="0.4">
      <c r="A6" s="84"/>
      <c r="B6" s="77" t="s">
        <v>18</v>
      </c>
      <c r="C6" s="77"/>
      <c r="D6" s="77" t="s">
        <v>129</v>
      </c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88"/>
      <c r="Q6" s="77" t="s">
        <v>18</v>
      </c>
      <c r="R6" s="77"/>
      <c r="S6" s="77" t="s">
        <v>133</v>
      </c>
      <c r="T6" s="77"/>
      <c r="U6" s="77"/>
      <c r="V6" s="77"/>
      <c r="W6" s="77"/>
      <c r="X6" s="77"/>
      <c r="Y6" s="77"/>
      <c r="Z6" s="77"/>
      <c r="AA6" s="77"/>
      <c r="AB6" s="77"/>
      <c r="AC6" s="77"/>
      <c r="AD6" s="33"/>
    </row>
    <row r="7" spans="1:30" ht="34.950000000000003" customHeight="1" x14ac:dyDescent="0.4">
      <c r="A7" s="84"/>
      <c r="B7" s="77" t="s">
        <v>19</v>
      </c>
      <c r="C7" s="77"/>
      <c r="D7" s="77" t="s">
        <v>130</v>
      </c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88"/>
      <c r="Q7" s="77" t="s">
        <v>19</v>
      </c>
      <c r="R7" s="77"/>
      <c r="S7" s="77" t="s">
        <v>134</v>
      </c>
      <c r="T7" s="77"/>
      <c r="U7" s="77"/>
      <c r="V7" s="77"/>
      <c r="W7" s="77"/>
      <c r="X7" s="77"/>
      <c r="Y7" s="77"/>
      <c r="Z7" s="77"/>
      <c r="AA7" s="77"/>
      <c r="AB7" s="77"/>
      <c r="AC7" s="77"/>
      <c r="AD7" s="33"/>
    </row>
    <row r="8" spans="1:30" ht="34.950000000000003" customHeight="1" x14ac:dyDescent="0.4">
      <c r="A8" s="84"/>
      <c r="B8" s="77" t="s">
        <v>20</v>
      </c>
      <c r="C8" s="77"/>
      <c r="D8" s="89" t="s">
        <v>131</v>
      </c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88"/>
      <c r="Q8" s="77" t="s">
        <v>20</v>
      </c>
      <c r="R8" s="77"/>
      <c r="S8" s="89" t="s">
        <v>132</v>
      </c>
      <c r="T8" s="77"/>
      <c r="U8" s="77"/>
      <c r="V8" s="77"/>
      <c r="W8" s="77"/>
      <c r="X8" s="77"/>
      <c r="Y8" s="77"/>
      <c r="Z8" s="77"/>
      <c r="AA8" s="77"/>
      <c r="AB8" s="77"/>
      <c r="AC8" s="77"/>
      <c r="AD8" s="33"/>
    </row>
    <row r="9" spans="1:30" ht="49.95" customHeight="1" thickBot="1" x14ac:dyDescent="0.45">
      <c r="A9" s="74" t="s">
        <v>12</v>
      </c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</row>
    <row r="10" spans="1:30" ht="34.950000000000003" customHeight="1" thickTop="1" x14ac:dyDescent="0.4">
      <c r="A10" s="64" t="s">
        <v>13</v>
      </c>
      <c r="B10" s="64"/>
      <c r="C10" s="64"/>
      <c r="D10" s="64"/>
      <c r="E10" s="64"/>
      <c r="F10" s="65"/>
      <c r="G10" s="75">
        <f>SUM(E18,T18)</f>
        <v>5500000</v>
      </c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</row>
    <row r="11" spans="1:30" ht="15" customHeight="1" thickBot="1" x14ac:dyDescent="0.45">
      <c r="A11" s="63"/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</row>
    <row r="12" spans="1:30" ht="34.950000000000003" customHeight="1" thickTop="1" x14ac:dyDescent="0.4">
      <c r="A12" s="64" t="s">
        <v>0</v>
      </c>
      <c r="B12" s="65"/>
      <c r="C12" s="66" t="s">
        <v>1</v>
      </c>
      <c r="D12" s="67"/>
      <c r="E12" s="68" t="s">
        <v>2</v>
      </c>
      <c r="F12" s="64"/>
      <c r="G12" s="64"/>
      <c r="H12" s="65"/>
      <c r="I12" s="68" t="s">
        <v>3</v>
      </c>
      <c r="J12" s="64"/>
      <c r="K12" s="64"/>
      <c r="L12" s="64"/>
      <c r="M12" s="64"/>
      <c r="N12" s="64"/>
      <c r="O12" s="64"/>
      <c r="P12" s="64"/>
      <c r="Q12" s="64"/>
      <c r="R12" s="64"/>
      <c r="S12" s="65"/>
      <c r="T12" s="69" t="s">
        <v>4</v>
      </c>
      <c r="U12" s="70"/>
      <c r="V12" s="71" t="s">
        <v>5</v>
      </c>
      <c r="W12" s="67"/>
      <c r="X12" s="64" t="s">
        <v>41</v>
      </c>
      <c r="Y12" s="64"/>
      <c r="Z12" s="65"/>
      <c r="AA12" s="72" t="s">
        <v>6</v>
      </c>
      <c r="AB12" s="73"/>
      <c r="AC12" s="73"/>
      <c r="AD12" s="73"/>
    </row>
    <row r="13" spans="1:30" ht="150" customHeight="1" x14ac:dyDescent="0.4">
      <c r="A13" s="57" t="s">
        <v>88</v>
      </c>
      <c r="B13" s="58"/>
      <c r="C13" s="57" t="s">
        <v>89</v>
      </c>
      <c r="D13" s="58"/>
      <c r="E13" s="33" t="s">
        <v>77</v>
      </c>
      <c r="F13" s="34"/>
      <c r="G13" s="34"/>
      <c r="H13" s="44"/>
      <c r="I13" s="45" t="s">
        <v>79</v>
      </c>
      <c r="J13" s="46"/>
      <c r="K13" s="46"/>
      <c r="L13" s="46"/>
      <c r="M13" s="46"/>
      <c r="N13" s="46"/>
      <c r="O13" s="46"/>
      <c r="P13" s="46"/>
      <c r="Q13" s="46"/>
      <c r="R13" s="46"/>
      <c r="S13" s="47"/>
      <c r="T13" s="48">
        <v>1</v>
      </c>
      <c r="U13" s="49"/>
      <c r="V13" s="50">
        <v>1</v>
      </c>
      <c r="W13" s="51"/>
      <c r="X13" s="41">
        <v>150000</v>
      </c>
      <c r="Y13" s="41"/>
      <c r="Z13" s="42"/>
      <c r="AA13" s="43">
        <f>SUM(T13*V13*X13)</f>
        <v>150000</v>
      </c>
      <c r="AB13" s="41"/>
      <c r="AC13" s="41"/>
      <c r="AD13" s="41"/>
    </row>
    <row r="14" spans="1:30" ht="150" customHeight="1" x14ac:dyDescent="0.4">
      <c r="A14" s="59"/>
      <c r="B14" s="60"/>
      <c r="C14" s="59"/>
      <c r="D14" s="60"/>
      <c r="E14" s="33" t="s">
        <v>90</v>
      </c>
      <c r="F14" s="34"/>
      <c r="G14" s="34"/>
      <c r="H14" s="44"/>
      <c r="I14" s="45" t="s">
        <v>96</v>
      </c>
      <c r="J14" s="46"/>
      <c r="K14" s="46"/>
      <c r="L14" s="46"/>
      <c r="M14" s="46"/>
      <c r="N14" s="46"/>
      <c r="O14" s="46"/>
      <c r="P14" s="46"/>
      <c r="Q14" s="46"/>
      <c r="R14" s="46"/>
      <c r="S14" s="47"/>
      <c r="T14" s="48">
        <v>3</v>
      </c>
      <c r="U14" s="49"/>
      <c r="V14" s="50">
        <v>3</v>
      </c>
      <c r="W14" s="51"/>
      <c r="X14" s="41">
        <v>450000</v>
      </c>
      <c r="Y14" s="41"/>
      <c r="Z14" s="42"/>
      <c r="AA14" s="43">
        <v>1350000</v>
      </c>
      <c r="AB14" s="41"/>
      <c r="AC14" s="41"/>
      <c r="AD14" s="41"/>
    </row>
    <row r="15" spans="1:30" ht="150" customHeight="1" x14ac:dyDescent="0.4">
      <c r="A15" s="59"/>
      <c r="B15" s="60"/>
      <c r="C15" s="59"/>
      <c r="D15" s="60"/>
      <c r="E15" s="33" t="s">
        <v>97</v>
      </c>
      <c r="F15" s="34"/>
      <c r="G15" s="34"/>
      <c r="H15" s="44"/>
      <c r="I15" s="45" t="s">
        <v>135</v>
      </c>
      <c r="J15" s="46"/>
      <c r="K15" s="46"/>
      <c r="L15" s="46"/>
      <c r="M15" s="46"/>
      <c r="N15" s="46"/>
      <c r="O15" s="46"/>
      <c r="P15" s="46"/>
      <c r="Q15" s="46"/>
      <c r="R15" s="46"/>
      <c r="S15" s="47"/>
      <c r="T15" s="48">
        <v>10</v>
      </c>
      <c r="U15" s="49"/>
      <c r="V15" s="50">
        <v>3</v>
      </c>
      <c r="W15" s="51"/>
      <c r="X15" s="41">
        <v>800000</v>
      </c>
      <c r="Y15" s="41"/>
      <c r="Z15" s="42"/>
      <c r="AA15" s="43">
        <v>2400000</v>
      </c>
      <c r="AB15" s="41"/>
      <c r="AC15" s="41"/>
      <c r="AD15" s="41"/>
    </row>
    <row r="16" spans="1:30" ht="150" customHeight="1" x14ac:dyDescent="0.4">
      <c r="A16" s="59"/>
      <c r="B16" s="60"/>
      <c r="C16" s="59"/>
      <c r="D16" s="60"/>
      <c r="E16" s="33" t="s">
        <v>91</v>
      </c>
      <c r="F16" s="34"/>
      <c r="G16" s="34"/>
      <c r="H16" s="44"/>
      <c r="I16" s="45" t="s">
        <v>98</v>
      </c>
      <c r="J16" s="46"/>
      <c r="K16" s="46"/>
      <c r="L16" s="46"/>
      <c r="M16" s="46"/>
      <c r="N16" s="46"/>
      <c r="O16" s="46"/>
      <c r="P16" s="46"/>
      <c r="Q16" s="46"/>
      <c r="R16" s="46"/>
      <c r="S16" s="47"/>
      <c r="T16" s="48">
        <v>5</v>
      </c>
      <c r="U16" s="49"/>
      <c r="V16" s="50">
        <v>1</v>
      </c>
      <c r="W16" s="51"/>
      <c r="X16" s="41">
        <v>900000</v>
      </c>
      <c r="Y16" s="41"/>
      <c r="Z16" s="42"/>
      <c r="AA16" s="43">
        <v>900000</v>
      </c>
      <c r="AB16" s="41"/>
      <c r="AC16" s="41"/>
      <c r="AD16" s="41"/>
    </row>
    <row r="17" spans="1:30" ht="150" customHeight="1" x14ac:dyDescent="0.4">
      <c r="A17" s="61"/>
      <c r="B17" s="62"/>
      <c r="C17" s="61"/>
      <c r="D17" s="62"/>
      <c r="E17" s="33" t="s">
        <v>92</v>
      </c>
      <c r="F17" s="34"/>
      <c r="G17" s="34"/>
      <c r="H17" s="44"/>
      <c r="I17" s="45" t="s">
        <v>99</v>
      </c>
      <c r="J17" s="46"/>
      <c r="K17" s="46"/>
      <c r="L17" s="46"/>
      <c r="M17" s="46"/>
      <c r="N17" s="46"/>
      <c r="O17" s="46"/>
      <c r="P17" s="46"/>
      <c r="Q17" s="46"/>
      <c r="R17" s="46"/>
      <c r="S17" s="47"/>
      <c r="T17" s="48">
        <v>1</v>
      </c>
      <c r="U17" s="49"/>
      <c r="V17" s="50">
        <v>1</v>
      </c>
      <c r="W17" s="51"/>
      <c r="X17" s="41">
        <v>200000</v>
      </c>
      <c r="Y17" s="41"/>
      <c r="Z17" s="42"/>
      <c r="AA17" s="43">
        <f>SUM(T17*V17*X17)</f>
        <v>200000</v>
      </c>
      <c r="AB17" s="41"/>
      <c r="AC17" s="41"/>
      <c r="AD17" s="41"/>
    </row>
    <row r="18" spans="1:30" ht="34.950000000000003" customHeight="1" x14ac:dyDescent="0.4">
      <c r="A18" s="52" t="s">
        <v>8</v>
      </c>
      <c r="B18" s="52"/>
      <c r="C18" s="52"/>
      <c r="D18" s="52"/>
      <c r="E18" s="53">
        <f>SUM(T18*0.1)</f>
        <v>500000</v>
      </c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4" t="s">
        <v>7</v>
      </c>
      <c r="Q18" s="54"/>
      <c r="R18" s="54"/>
      <c r="S18" s="54"/>
      <c r="T18" s="55">
        <f>SUM(AA13:AD17)</f>
        <v>5000000</v>
      </c>
      <c r="U18" s="56"/>
      <c r="V18" s="56"/>
      <c r="W18" s="56"/>
      <c r="X18" s="56"/>
      <c r="Y18" s="56"/>
      <c r="Z18" s="56"/>
      <c r="AA18" s="56"/>
      <c r="AB18" s="56"/>
      <c r="AC18" s="56"/>
      <c r="AD18" s="56"/>
    </row>
    <row r="19" spans="1:30" ht="34.950000000000003" customHeight="1" x14ac:dyDescent="0.4">
      <c r="A19" s="31" t="s">
        <v>9</v>
      </c>
      <c r="B19" s="31"/>
      <c r="C19" s="31"/>
      <c r="D19" s="32"/>
      <c r="E19" s="33" t="s">
        <v>35</v>
      </c>
      <c r="F19" s="34"/>
      <c r="G19" s="34"/>
      <c r="H19" s="34"/>
      <c r="I19" s="34"/>
      <c r="J19" s="34"/>
      <c r="K19" s="35" t="s">
        <v>10</v>
      </c>
      <c r="L19" s="31"/>
      <c r="M19" s="31"/>
      <c r="N19" s="32"/>
      <c r="O19" s="36" t="str">
        <f>IF(E19="국민은행 [A]", "830501-04-224154", IF(E19="국민은행 [B]", "97112978846", IF(E19="우리은행", "1005-104-299487", IF(E19="기업은행", "052-111285-04-020", IF(E19="신한은행", "140-013-733156", "X")))))</f>
        <v>97112978846</v>
      </c>
      <c r="P19" s="36"/>
      <c r="Q19" s="36"/>
      <c r="R19" s="36"/>
      <c r="S19" s="36"/>
      <c r="T19" s="36"/>
      <c r="U19" s="35" t="s">
        <v>11</v>
      </c>
      <c r="V19" s="31"/>
      <c r="W19" s="31"/>
      <c r="X19" s="32"/>
      <c r="Y19" s="33" t="s">
        <v>21</v>
      </c>
      <c r="Z19" s="34"/>
      <c r="AA19" s="34"/>
      <c r="AB19" s="34"/>
      <c r="AC19" s="34"/>
      <c r="AD19" s="34"/>
    </row>
    <row r="20" spans="1:30" ht="15" customHeight="1" thickBot="1" x14ac:dyDescent="0.45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</row>
    <row r="21" spans="1:30" ht="25.05" customHeight="1" thickTop="1" x14ac:dyDescent="0.4">
      <c r="A21" s="28" t="s">
        <v>43</v>
      </c>
      <c r="B21" s="38" t="s">
        <v>37</v>
      </c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9"/>
    </row>
    <row r="22" spans="1:30" ht="25.05" customHeight="1" x14ac:dyDescent="0.4">
      <c r="A22" s="32"/>
      <c r="B22" s="24" t="s">
        <v>38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5"/>
    </row>
    <row r="23" spans="1:30" ht="25.05" customHeight="1" x14ac:dyDescent="0.4">
      <c r="A23" s="32"/>
      <c r="B23" s="24" t="s">
        <v>39</v>
      </c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5"/>
    </row>
    <row r="24" spans="1:30" ht="25.05" hidden="1" customHeight="1" x14ac:dyDescent="0.4">
      <c r="A24" s="32"/>
      <c r="B24" s="24" t="s">
        <v>69</v>
      </c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5"/>
    </row>
    <row r="25" spans="1:30" ht="25.05" hidden="1" customHeight="1" x14ac:dyDescent="0.4">
      <c r="A25" s="32"/>
      <c r="B25" s="24" t="s">
        <v>61</v>
      </c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5"/>
    </row>
    <row r="26" spans="1:30" ht="25.05" hidden="1" customHeight="1" x14ac:dyDescent="0.4">
      <c r="A26" s="32"/>
      <c r="B26" s="25" t="s">
        <v>70</v>
      </c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</row>
    <row r="27" spans="1:30" ht="25.05" hidden="1" customHeight="1" x14ac:dyDescent="0.4">
      <c r="A27" s="32"/>
      <c r="B27" s="24" t="s">
        <v>62</v>
      </c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5"/>
    </row>
    <row r="28" spans="1:30" ht="25.05" hidden="1" customHeight="1" x14ac:dyDescent="0.4">
      <c r="A28" s="32"/>
      <c r="B28" s="24" t="s">
        <v>63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5"/>
    </row>
    <row r="29" spans="1:30" ht="25.05" hidden="1" customHeight="1" x14ac:dyDescent="0.4">
      <c r="A29" s="32"/>
      <c r="B29" s="24" t="s">
        <v>64</v>
      </c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5"/>
    </row>
    <row r="30" spans="1:30" ht="25.05" customHeight="1" x14ac:dyDescent="0.4">
      <c r="A30" s="32"/>
      <c r="B30" s="24" t="s">
        <v>65</v>
      </c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5"/>
    </row>
    <row r="31" spans="1:30" s="5" customFormat="1" ht="15" hidden="1" customHeight="1" thickBot="1" x14ac:dyDescent="0.45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</row>
    <row r="32" spans="1:30" s="5" customFormat="1" ht="25.05" hidden="1" customHeight="1" thickTop="1" x14ac:dyDescent="0.4">
      <c r="A32" s="20" t="s">
        <v>42</v>
      </c>
      <c r="B32" s="29" t="s">
        <v>44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30"/>
    </row>
    <row r="33" spans="1:30" s="5" customFormat="1" ht="25.05" hidden="1" customHeight="1" x14ac:dyDescent="0.4">
      <c r="A33" s="27"/>
      <c r="B33" s="24" t="s">
        <v>58</v>
      </c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5"/>
    </row>
    <row r="34" spans="1:30" s="5" customFormat="1" ht="25.05" hidden="1" customHeight="1" x14ac:dyDescent="0.4">
      <c r="A34" s="27"/>
      <c r="B34" s="24" t="s">
        <v>45</v>
      </c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5"/>
    </row>
    <row r="35" spans="1:30" s="5" customFormat="1" ht="25.05" hidden="1" customHeight="1" x14ac:dyDescent="0.4">
      <c r="A35" s="27"/>
      <c r="B35" s="24" t="s">
        <v>46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5"/>
    </row>
    <row r="36" spans="1:30" s="5" customFormat="1" ht="25.05" hidden="1" customHeight="1" x14ac:dyDescent="0.4">
      <c r="A36" s="27"/>
      <c r="B36" s="24" t="s">
        <v>47</v>
      </c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5"/>
    </row>
    <row r="37" spans="1:30" s="5" customFormat="1" ht="25.05" hidden="1" customHeight="1" x14ac:dyDescent="0.4">
      <c r="A37" s="28"/>
      <c r="B37" s="24" t="s">
        <v>48</v>
      </c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5"/>
    </row>
    <row r="38" spans="1:30" s="5" customFormat="1" ht="15" hidden="1" customHeight="1" x14ac:dyDescent="0.4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spans="1:30" s="5" customFormat="1" ht="30" hidden="1" customHeight="1" thickBot="1" x14ac:dyDescent="0.45">
      <c r="A39" s="18" t="s">
        <v>68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</row>
    <row r="40" spans="1:30" s="5" customFormat="1" ht="25.05" hidden="1" customHeight="1" thickTop="1" x14ac:dyDescent="0.4">
      <c r="A40" s="19" t="s">
        <v>49</v>
      </c>
      <c r="B40" s="19"/>
      <c r="C40" s="19"/>
      <c r="D40" s="19"/>
      <c r="E40" s="20"/>
      <c r="F40" s="21" t="s">
        <v>53</v>
      </c>
      <c r="G40" s="22"/>
      <c r="H40" s="22"/>
      <c r="I40" s="22"/>
      <c r="J40" s="23"/>
      <c r="K40" s="22" t="s">
        <v>54</v>
      </c>
      <c r="L40" s="22"/>
      <c r="M40" s="22"/>
      <c r="N40" s="22"/>
      <c r="O40" s="23"/>
      <c r="P40" s="22" t="s">
        <v>50</v>
      </c>
      <c r="Q40" s="22"/>
      <c r="R40" s="22"/>
      <c r="S40" s="22"/>
      <c r="T40" s="23"/>
      <c r="U40" s="21" t="s">
        <v>51</v>
      </c>
      <c r="V40" s="22"/>
      <c r="W40" s="22"/>
      <c r="X40" s="22"/>
      <c r="Y40" s="23"/>
      <c r="Z40" s="19" t="s">
        <v>52</v>
      </c>
      <c r="AA40" s="19"/>
      <c r="AB40" s="19"/>
      <c r="AC40" s="19"/>
      <c r="AD40" s="19"/>
    </row>
    <row r="41" spans="1:30" s="5" customFormat="1" ht="25.05" hidden="1" customHeight="1" x14ac:dyDescent="0.4">
      <c r="A41" s="9" t="s">
        <v>59</v>
      </c>
      <c r="B41" s="9"/>
      <c r="C41" s="9"/>
      <c r="D41" s="9"/>
      <c r="E41" s="10"/>
      <c r="F41" s="12">
        <v>463265</v>
      </c>
      <c r="G41" s="12"/>
      <c r="H41" s="12"/>
      <c r="I41" s="12"/>
      <c r="J41" s="13"/>
      <c r="K41" s="11">
        <v>9543259</v>
      </c>
      <c r="L41" s="12"/>
      <c r="M41" s="12"/>
      <c r="N41" s="12"/>
      <c r="O41" s="13"/>
      <c r="P41" s="11">
        <f>SUM(K41*1.1)</f>
        <v>10497584.9</v>
      </c>
      <c r="Q41" s="12"/>
      <c r="R41" s="12"/>
      <c r="S41" s="12"/>
      <c r="T41" s="13"/>
      <c r="U41" s="11" cm="1">
        <f t="array" ref="U41">SUM(K41:T41*0.2)</f>
        <v>4008168.7800000003</v>
      </c>
      <c r="V41" s="12"/>
      <c r="W41" s="12"/>
      <c r="X41" s="12"/>
      <c r="Y41" s="13"/>
      <c r="Z41" s="12">
        <f>SUM(F41:Y41)</f>
        <v>24512277.68</v>
      </c>
      <c r="AA41" s="12"/>
      <c r="AB41" s="12"/>
      <c r="AC41" s="12"/>
      <c r="AD41" s="12"/>
    </row>
    <row r="42" spans="1:30" s="5" customFormat="1" ht="25.05" hidden="1" customHeight="1" x14ac:dyDescent="0.4">
      <c r="A42" s="16" t="s">
        <v>56</v>
      </c>
      <c r="B42" s="16"/>
      <c r="C42" s="16"/>
      <c r="D42" s="16"/>
      <c r="E42" s="17"/>
      <c r="F42" s="11">
        <v>291414</v>
      </c>
      <c r="G42" s="12"/>
      <c r="H42" s="12"/>
      <c r="I42" s="12"/>
      <c r="J42" s="13"/>
      <c r="K42" s="11">
        <v>6003128</v>
      </c>
      <c r="L42" s="12"/>
      <c r="M42" s="12"/>
      <c r="N42" s="12"/>
      <c r="O42" s="13"/>
      <c r="P42" s="11">
        <f>SUM(K42*1.1)</f>
        <v>6603440.8000000007</v>
      </c>
      <c r="Q42" s="12"/>
      <c r="R42" s="12"/>
      <c r="S42" s="12"/>
      <c r="T42" s="13"/>
      <c r="U42" s="11" cm="1">
        <f t="array" ref="U42">SUM(K42:T42*0.2)</f>
        <v>2521313.7600000002</v>
      </c>
      <c r="V42" s="12"/>
      <c r="W42" s="12"/>
      <c r="X42" s="12"/>
      <c r="Y42" s="12"/>
      <c r="Z42" s="11">
        <f t="shared" ref="Z42:Z44" si="0">SUM(F42:Y42)</f>
        <v>15419296.560000001</v>
      </c>
      <c r="AA42" s="12"/>
      <c r="AB42" s="12"/>
      <c r="AC42" s="12"/>
      <c r="AD42" s="12"/>
    </row>
    <row r="43" spans="1:30" s="5" customFormat="1" ht="25.05" hidden="1" customHeight="1" x14ac:dyDescent="0.4">
      <c r="A43" s="14" t="s">
        <v>57</v>
      </c>
      <c r="B43" s="14"/>
      <c r="C43" s="14"/>
      <c r="D43" s="14"/>
      <c r="E43" s="15"/>
      <c r="F43" s="11">
        <v>291414</v>
      </c>
      <c r="G43" s="12"/>
      <c r="H43" s="12"/>
      <c r="I43" s="12"/>
      <c r="J43" s="13"/>
      <c r="K43" s="11">
        <v>6003128</v>
      </c>
      <c r="L43" s="12"/>
      <c r="M43" s="12"/>
      <c r="N43" s="12"/>
      <c r="O43" s="13"/>
      <c r="P43" s="11">
        <f>SUM(K43*1.1)</f>
        <v>6603440.8000000007</v>
      </c>
      <c r="Q43" s="12"/>
      <c r="R43" s="12"/>
      <c r="S43" s="12"/>
      <c r="T43" s="13"/>
      <c r="U43" s="11" cm="1">
        <f t="array" ref="U43">SUM(K43:T43*0.2)</f>
        <v>2521313.7600000002</v>
      </c>
      <c r="V43" s="12"/>
      <c r="W43" s="12"/>
      <c r="X43" s="12"/>
      <c r="Y43" s="12"/>
      <c r="Z43" s="11">
        <f t="shared" si="0"/>
        <v>15419296.560000001</v>
      </c>
      <c r="AA43" s="12"/>
      <c r="AB43" s="12"/>
      <c r="AC43" s="12"/>
      <c r="AD43" s="12"/>
    </row>
    <row r="44" spans="1:30" s="5" customFormat="1" ht="25.05" hidden="1" customHeight="1" x14ac:dyDescent="0.4">
      <c r="A44" s="9" t="s">
        <v>55</v>
      </c>
      <c r="B44" s="9"/>
      <c r="C44" s="9"/>
      <c r="D44" s="9"/>
      <c r="E44" s="10"/>
      <c r="F44" s="11">
        <v>217843</v>
      </c>
      <c r="G44" s="12"/>
      <c r="H44" s="12"/>
      <c r="I44" s="12"/>
      <c r="J44" s="13"/>
      <c r="K44" s="11">
        <v>4487566</v>
      </c>
      <c r="L44" s="12"/>
      <c r="M44" s="12"/>
      <c r="N44" s="12"/>
      <c r="O44" s="13"/>
      <c r="P44" s="11">
        <f>SUM(K44*1.1)</f>
        <v>4936322.6000000006</v>
      </c>
      <c r="Q44" s="12"/>
      <c r="R44" s="12"/>
      <c r="S44" s="12"/>
      <c r="T44" s="13"/>
      <c r="U44" s="11" cm="1">
        <f t="array" ref="U44">SUM(K44:T44*0.2)</f>
        <v>1884777.7200000002</v>
      </c>
      <c r="V44" s="12"/>
      <c r="W44" s="12"/>
      <c r="X44" s="12"/>
      <c r="Y44" s="12"/>
      <c r="Z44" s="11">
        <f t="shared" si="0"/>
        <v>11526509.320000002</v>
      </c>
      <c r="AA44" s="12"/>
      <c r="AB44" s="12"/>
      <c r="AC44" s="12"/>
      <c r="AD44" s="12"/>
    </row>
    <row r="45" spans="1:30" ht="15" customHeight="1" thickBot="1" x14ac:dyDescent="0.45">
      <c r="AA45" s="6"/>
    </row>
    <row r="46" spans="1:30" ht="2.5499999999999998" customHeight="1" x14ac:dyDescent="0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100.05" customHeight="1" x14ac:dyDescent="0.4">
      <c r="A47" s="7" t="s">
        <v>29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spans="1:30" ht="19.95" customHeight="1" x14ac:dyDescent="0.4"/>
    <row r="49" ht="19.95" customHeight="1" x14ac:dyDescent="0.4"/>
    <row r="50" ht="19.95" customHeight="1" x14ac:dyDescent="0.4"/>
    <row r="51" ht="19.95" customHeight="1" x14ac:dyDescent="0.4"/>
    <row r="52" ht="19.95" customHeight="1" x14ac:dyDescent="0.4"/>
    <row r="53" ht="19.95" customHeight="1" x14ac:dyDescent="0.4"/>
    <row r="54" ht="19.95" customHeight="1" x14ac:dyDescent="0.4"/>
  </sheetData>
  <dataConsolidate/>
  <mergeCells count="135">
    <mergeCell ref="S4:AD4"/>
    <mergeCell ref="B5:C5"/>
    <mergeCell ref="D5:O5"/>
    <mergeCell ref="Q5:R5"/>
    <mergeCell ref="S5:Y5"/>
    <mergeCell ref="Z5:AA5"/>
    <mergeCell ref="AB5:AD5"/>
    <mergeCell ref="A1:AD1"/>
    <mergeCell ref="A2:AD2"/>
    <mergeCell ref="A3:U3"/>
    <mergeCell ref="Z3:AA3"/>
    <mergeCell ref="AB3:AD3"/>
    <mergeCell ref="A4:A8"/>
    <mergeCell ref="B4:C4"/>
    <mergeCell ref="D4:O4"/>
    <mergeCell ref="P4:P8"/>
    <mergeCell ref="Q4:R4"/>
    <mergeCell ref="B8:C8"/>
    <mergeCell ref="D8:O8"/>
    <mergeCell ref="Q8:R8"/>
    <mergeCell ref="S8:AD8"/>
    <mergeCell ref="A9:AD9"/>
    <mergeCell ref="A10:F10"/>
    <mergeCell ref="G10:AD10"/>
    <mergeCell ref="B6:C6"/>
    <mergeCell ref="D6:O6"/>
    <mergeCell ref="Q6:R6"/>
    <mergeCell ref="S6:AD6"/>
    <mergeCell ref="B7:C7"/>
    <mergeCell ref="D7:O7"/>
    <mergeCell ref="Q7:R7"/>
    <mergeCell ref="S7:AD7"/>
    <mergeCell ref="A11:AD11"/>
    <mergeCell ref="A12:B12"/>
    <mergeCell ref="C12:D12"/>
    <mergeCell ref="E12:H12"/>
    <mergeCell ref="I12:S12"/>
    <mergeCell ref="T12:U12"/>
    <mergeCell ref="V12:W12"/>
    <mergeCell ref="X12:Z12"/>
    <mergeCell ref="AA12:AD12"/>
    <mergeCell ref="X13:Z13"/>
    <mergeCell ref="AA13:AD13"/>
    <mergeCell ref="E14:H14"/>
    <mergeCell ref="I14:S14"/>
    <mergeCell ref="T14:U14"/>
    <mergeCell ref="V14:W14"/>
    <mergeCell ref="X14:Z14"/>
    <mergeCell ref="AA14:AD14"/>
    <mergeCell ref="A13:B17"/>
    <mergeCell ref="C13:D17"/>
    <mergeCell ref="E13:H13"/>
    <mergeCell ref="I13:S13"/>
    <mergeCell ref="T13:U13"/>
    <mergeCell ref="V13:W13"/>
    <mergeCell ref="E15:H15"/>
    <mergeCell ref="I15:S15"/>
    <mergeCell ref="T15:U15"/>
    <mergeCell ref="V15:W15"/>
    <mergeCell ref="E17:H17"/>
    <mergeCell ref="I17:S17"/>
    <mergeCell ref="T17:U17"/>
    <mergeCell ref="V17:W17"/>
    <mergeCell ref="X17:Z17"/>
    <mergeCell ref="AA17:AD17"/>
    <mergeCell ref="X15:Z15"/>
    <mergeCell ref="AA15:AD15"/>
    <mergeCell ref="E16:H16"/>
    <mergeCell ref="I16:S16"/>
    <mergeCell ref="T16:U16"/>
    <mergeCell ref="V16:W16"/>
    <mergeCell ref="X16:Z16"/>
    <mergeCell ref="AA16:AD16"/>
    <mergeCell ref="A18:D18"/>
    <mergeCell ref="E18:O18"/>
    <mergeCell ref="P18:S18"/>
    <mergeCell ref="T18:AD18"/>
    <mergeCell ref="A19:D19"/>
    <mergeCell ref="E19:J19"/>
    <mergeCell ref="K19:N19"/>
    <mergeCell ref="O19:T19"/>
    <mergeCell ref="U19:X19"/>
    <mergeCell ref="Y19:AD19"/>
    <mergeCell ref="A20:AD20"/>
    <mergeCell ref="A21:A30"/>
    <mergeCell ref="B21:AD21"/>
    <mergeCell ref="B22:AD22"/>
    <mergeCell ref="B23:AD23"/>
    <mergeCell ref="B24:AD24"/>
    <mergeCell ref="B25:AD25"/>
    <mergeCell ref="B26:AD26"/>
    <mergeCell ref="B27:AD27"/>
    <mergeCell ref="B28:AD28"/>
    <mergeCell ref="A39:AD39"/>
    <mergeCell ref="A40:E40"/>
    <mergeCell ref="F40:J40"/>
    <mergeCell ref="K40:O40"/>
    <mergeCell ref="P40:T40"/>
    <mergeCell ref="U40:Y40"/>
    <mergeCell ref="Z40:AD40"/>
    <mergeCell ref="B29:AD29"/>
    <mergeCell ref="B30:AD30"/>
    <mergeCell ref="A31:AD31"/>
    <mergeCell ref="A32:A37"/>
    <mergeCell ref="B32:AD32"/>
    <mergeCell ref="B33:AD33"/>
    <mergeCell ref="B34:AD34"/>
    <mergeCell ref="B35:AD35"/>
    <mergeCell ref="B36:AD36"/>
    <mergeCell ref="B37:AD37"/>
    <mergeCell ref="A42:E42"/>
    <mergeCell ref="F42:J42"/>
    <mergeCell ref="K42:O42"/>
    <mergeCell ref="P42:T42"/>
    <mergeCell ref="U42:Y42"/>
    <mergeCell ref="Z42:AD42"/>
    <mergeCell ref="A41:E41"/>
    <mergeCell ref="F41:J41"/>
    <mergeCell ref="K41:O41"/>
    <mergeCell ref="P41:T41"/>
    <mergeCell ref="U41:Y41"/>
    <mergeCell ref="Z41:AD41"/>
    <mergeCell ref="A47:AD47"/>
    <mergeCell ref="A44:E44"/>
    <mergeCell ref="F44:J44"/>
    <mergeCell ref="K44:O44"/>
    <mergeCell ref="P44:T44"/>
    <mergeCell ref="U44:Y44"/>
    <mergeCell ref="Z44:AD44"/>
    <mergeCell ref="A43:E43"/>
    <mergeCell ref="F43:J43"/>
    <mergeCell ref="K43:O43"/>
    <mergeCell ref="P43:T43"/>
    <mergeCell ref="U43:Y43"/>
    <mergeCell ref="Z43:AD43"/>
  </mergeCells>
  <phoneticPr fontId="1" type="noConversion"/>
  <hyperlinks>
    <hyperlink ref="S8" r:id="rId1" xr:uid="{DF3260EB-F7E4-E84C-8BC8-C854B10F12B8}"/>
    <hyperlink ref="D8" r:id="rId2" xr:uid="{AE0B8134-DE64-BF45-8816-2B9422EF910D}"/>
  </hyperlinks>
  <pageMargins left="0.7" right="0.7" top="0.75" bottom="0.75" header="0.3" footer="0.3"/>
  <pageSetup paperSize="9" scale="47" orientation="portrait" r:id="rId3"/>
  <headerFooter>
    <oddHeader>&amp;C
&amp;G</oddHeader>
  </headerFooter>
  <drawing r:id="rId4"/>
  <legacyDrawingHF r:id="rId5"/>
  <picture r:id="rId6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281D86E-0B27-D046-9219-F700D72B5DC9}">
          <x14:formula1>
            <xm:f>데이터!$C$2:$C$4</xm:f>
          </x14:formula1>
          <xm:sqref>B30:AD30</xm:sqref>
        </x14:dataValidation>
        <x14:dataValidation type="list" allowBlank="1" showInputMessage="1" showErrorMessage="1" xr:uid="{23FD5E5D-3C31-CE46-BF87-06D6D73F291C}">
          <x14:formula1>
            <xm:f>데이터!$A$2:$A$6</xm:f>
          </x14:formula1>
          <xm:sqref>E19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EEA65-647E-9C4E-883F-5EEA5DE1D8E7}">
  <sheetPr>
    <pageSetUpPr fitToPage="1"/>
  </sheetPr>
  <dimension ref="A1:AD54"/>
  <sheetViews>
    <sheetView showGridLines="0" view="pageBreakPreview" topLeftCell="A16" zoomScaleNormal="100" zoomScaleSheetLayoutView="115" workbookViewId="0">
      <selection activeCell="B24" sqref="A24:XFD29"/>
    </sheetView>
  </sheetViews>
  <sheetFormatPr defaultColWidth="8.796875" defaultRowHeight="17.399999999999999" x14ac:dyDescent="0.4"/>
  <cols>
    <col min="1" max="30" width="5.69921875" customWidth="1"/>
  </cols>
  <sheetData>
    <row r="1" spans="1:30" ht="100.05" customHeight="1" x14ac:dyDescent="0.6">
      <c r="A1" s="80" t="s">
        <v>30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</row>
    <row r="2" spans="1:30" ht="19.95" customHeight="1" x14ac:dyDescent="0.6">
      <c r="A2" s="80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</row>
    <row r="3" spans="1:30" ht="19.95" customHeight="1" thickBot="1" x14ac:dyDescent="0.45">
      <c r="A3" s="63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74"/>
      <c r="T3" s="74"/>
      <c r="U3" s="74"/>
      <c r="V3" s="3"/>
      <c r="W3" s="3"/>
      <c r="X3" s="3"/>
      <c r="Y3" s="1"/>
      <c r="Z3" s="81" t="s">
        <v>16</v>
      </c>
      <c r="AA3" s="81"/>
      <c r="AB3" s="82" t="s">
        <v>124</v>
      </c>
      <c r="AC3" s="82"/>
      <c r="AD3" s="82"/>
    </row>
    <row r="4" spans="1:30" ht="34.950000000000003" customHeight="1" thickTop="1" x14ac:dyDescent="0.4">
      <c r="A4" s="83" t="s">
        <v>14</v>
      </c>
      <c r="B4" s="85" t="s">
        <v>28</v>
      </c>
      <c r="C4" s="85"/>
      <c r="D4" s="86">
        <v>45397</v>
      </c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7" t="s">
        <v>15</v>
      </c>
      <c r="Q4" s="85" t="s">
        <v>17</v>
      </c>
      <c r="R4" s="85"/>
      <c r="S4" s="78" t="s">
        <v>27</v>
      </c>
      <c r="T4" s="78"/>
      <c r="U4" s="78"/>
      <c r="V4" s="78"/>
      <c r="W4" s="78"/>
      <c r="X4" s="78"/>
      <c r="Y4" s="78"/>
      <c r="Z4" s="78"/>
      <c r="AA4" s="78"/>
      <c r="AB4" s="78"/>
      <c r="AC4" s="78"/>
      <c r="AD4" s="79"/>
    </row>
    <row r="5" spans="1:30" ht="34.950000000000003" customHeight="1" x14ac:dyDescent="0.4">
      <c r="A5" s="84"/>
      <c r="B5" s="77" t="s">
        <v>40</v>
      </c>
      <c r="C5" s="77"/>
      <c r="D5" s="77" t="s">
        <v>125</v>
      </c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88"/>
      <c r="Q5" s="77" t="s">
        <v>40</v>
      </c>
      <c r="R5" s="77"/>
      <c r="S5" s="33" t="s">
        <v>21</v>
      </c>
      <c r="T5" s="34"/>
      <c r="U5" s="34"/>
      <c r="V5" s="34"/>
      <c r="W5" s="34"/>
      <c r="X5" s="34"/>
      <c r="Y5" s="44"/>
      <c r="Z5" s="33" t="s">
        <v>22</v>
      </c>
      <c r="AA5" s="44"/>
      <c r="AB5" s="33" t="s">
        <v>23</v>
      </c>
      <c r="AC5" s="34"/>
      <c r="AD5" s="34"/>
    </row>
    <row r="6" spans="1:30" ht="34.950000000000003" customHeight="1" x14ac:dyDescent="0.4">
      <c r="A6" s="84"/>
      <c r="B6" s="77" t="s">
        <v>18</v>
      </c>
      <c r="C6" s="77"/>
      <c r="D6" s="77" t="s">
        <v>126</v>
      </c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88"/>
      <c r="Q6" s="77" t="s">
        <v>18</v>
      </c>
      <c r="R6" s="77"/>
      <c r="S6" s="77" t="s">
        <v>121</v>
      </c>
      <c r="T6" s="77"/>
      <c r="U6" s="77"/>
      <c r="V6" s="77"/>
      <c r="W6" s="77"/>
      <c r="X6" s="77"/>
      <c r="Y6" s="77"/>
      <c r="Z6" s="77"/>
      <c r="AA6" s="77"/>
      <c r="AB6" s="77"/>
      <c r="AC6" s="77"/>
      <c r="AD6" s="33"/>
    </row>
    <row r="7" spans="1:30" ht="34.950000000000003" customHeight="1" x14ac:dyDescent="0.4">
      <c r="A7" s="84"/>
      <c r="B7" s="77" t="s">
        <v>19</v>
      </c>
      <c r="C7" s="77"/>
      <c r="D7" s="77" t="s">
        <v>76</v>
      </c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88"/>
      <c r="Q7" s="77" t="s">
        <v>19</v>
      </c>
      <c r="R7" s="77"/>
      <c r="S7" s="77" t="s">
        <v>122</v>
      </c>
      <c r="T7" s="77"/>
      <c r="U7" s="77"/>
      <c r="V7" s="77"/>
      <c r="W7" s="77"/>
      <c r="X7" s="77"/>
      <c r="Y7" s="77"/>
      <c r="Z7" s="77"/>
      <c r="AA7" s="77"/>
      <c r="AB7" s="77"/>
      <c r="AC7" s="77"/>
      <c r="AD7" s="33"/>
    </row>
    <row r="8" spans="1:30" ht="34.950000000000003" customHeight="1" x14ac:dyDescent="0.4">
      <c r="A8" s="84"/>
      <c r="B8" s="77" t="s">
        <v>20</v>
      </c>
      <c r="C8" s="77"/>
      <c r="D8" s="89" t="s">
        <v>127</v>
      </c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88"/>
      <c r="Q8" s="77" t="s">
        <v>20</v>
      </c>
      <c r="R8" s="77"/>
      <c r="S8" s="89" t="s">
        <v>123</v>
      </c>
      <c r="T8" s="77"/>
      <c r="U8" s="77"/>
      <c r="V8" s="77"/>
      <c r="W8" s="77"/>
      <c r="X8" s="77"/>
      <c r="Y8" s="77"/>
      <c r="Z8" s="77"/>
      <c r="AA8" s="77"/>
      <c r="AB8" s="77"/>
      <c r="AC8" s="77"/>
      <c r="AD8" s="33"/>
    </row>
    <row r="9" spans="1:30" ht="49.95" customHeight="1" thickBot="1" x14ac:dyDescent="0.45">
      <c r="A9" s="74" t="s">
        <v>12</v>
      </c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</row>
    <row r="10" spans="1:30" ht="34.950000000000003" customHeight="1" thickTop="1" x14ac:dyDescent="0.4">
      <c r="A10" s="64" t="s">
        <v>13</v>
      </c>
      <c r="B10" s="64"/>
      <c r="C10" s="64"/>
      <c r="D10" s="64"/>
      <c r="E10" s="64"/>
      <c r="F10" s="65"/>
      <c r="G10" s="75">
        <f>SUM(E18,T18)</f>
        <v>5500000</v>
      </c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</row>
    <row r="11" spans="1:30" ht="15" customHeight="1" thickBot="1" x14ac:dyDescent="0.45">
      <c r="A11" s="63"/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</row>
    <row r="12" spans="1:30" ht="34.950000000000003" customHeight="1" thickTop="1" x14ac:dyDescent="0.4">
      <c r="A12" s="64" t="s">
        <v>0</v>
      </c>
      <c r="B12" s="65"/>
      <c r="C12" s="66" t="s">
        <v>1</v>
      </c>
      <c r="D12" s="67"/>
      <c r="E12" s="68" t="s">
        <v>2</v>
      </c>
      <c r="F12" s="64"/>
      <c r="G12" s="64"/>
      <c r="H12" s="65"/>
      <c r="I12" s="68" t="s">
        <v>3</v>
      </c>
      <c r="J12" s="64"/>
      <c r="K12" s="64"/>
      <c r="L12" s="64"/>
      <c r="M12" s="64"/>
      <c r="N12" s="64"/>
      <c r="O12" s="64"/>
      <c r="P12" s="64"/>
      <c r="Q12" s="64"/>
      <c r="R12" s="64"/>
      <c r="S12" s="65"/>
      <c r="T12" s="69" t="s">
        <v>4</v>
      </c>
      <c r="U12" s="70"/>
      <c r="V12" s="71" t="s">
        <v>5</v>
      </c>
      <c r="W12" s="67"/>
      <c r="X12" s="64" t="s">
        <v>41</v>
      </c>
      <c r="Y12" s="64"/>
      <c r="Z12" s="65"/>
      <c r="AA12" s="72" t="s">
        <v>6</v>
      </c>
      <c r="AB12" s="73"/>
      <c r="AC12" s="73"/>
      <c r="AD12" s="73"/>
    </row>
    <row r="13" spans="1:30" ht="150" customHeight="1" x14ac:dyDescent="0.4">
      <c r="A13" s="57" t="s">
        <v>78</v>
      </c>
      <c r="B13" s="58"/>
      <c r="C13" s="57" t="s">
        <v>93</v>
      </c>
      <c r="D13" s="58"/>
      <c r="E13" s="33" t="s">
        <v>77</v>
      </c>
      <c r="F13" s="34"/>
      <c r="G13" s="34"/>
      <c r="H13" s="44"/>
      <c r="I13" s="45" t="s">
        <v>79</v>
      </c>
      <c r="J13" s="46"/>
      <c r="K13" s="46"/>
      <c r="L13" s="46"/>
      <c r="M13" s="46"/>
      <c r="N13" s="46"/>
      <c r="O13" s="46"/>
      <c r="P13" s="46"/>
      <c r="Q13" s="46"/>
      <c r="R13" s="46"/>
      <c r="S13" s="47"/>
      <c r="T13" s="48">
        <v>1</v>
      </c>
      <c r="U13" s="49"/>
      <c r="V13" s="50">
        <v>1</v>
      </c>
      <c r="W13" s="51"/>
      <c r="X13" s="41">
        <v>150000</v>
      </c>
      <c r="Y13" s="41"/>
      <c r="Z13" s="42"/>
      <c r="AA13" s="43">
        <f>SUM(T13*V13*X13)</f>
        <v>150000</v>
      </c>
      <c r="AB13" s="41"/>
      <c r="AC13" s="41"/>
      <c r="AD13" s="41"/>
    </row>
    <row r="14" spans="1:30" ht="150" customHeight="1" x14ac:dyDescent="0.4">
      <c r="A14" s="59"/>
      <c r="B14" s="60"/>
      <c r="C14" s="59"/>
      <c r="D14" s="60"/>
      <c r="E14" s="33" t="s">
        <v>100</v>
      </c>
      <c r="F14" s="34"/>
      <c r="G14" s="34"/>
      <c r="H14" s="44"/>
      <c r="I14" s="45" t="s">
        <v>101</v>
      </c>
      <c r="J14" s="46"/>
      <c r="K14" s="46"/>
      <c r="L14" s="46"/>
      <c r="M14" s="46"/>
      <c r="N14" s="46"/>
      <c r="O14" s="46"/>
      <c r="P14" s="46"/>
      <c r="Q14" s="46"/>
      <c r="R14" s="46"/>
      <c r="S14" s="47"/>
      <c r="T14" s="48">
        <v>3</v>
      </c>
      <c r="U14" s="49"/>
      <c r="V14" s="50">
        <v>3</v>
      </c>
      <c r="W14" s="51"/>
      <c r="X14" s="41">
        <v>150000</v>
      </c>
      <c r="Y14" s="41"/>
      <c r="Z14" s="42"/>
      <c r="AA14" s="43">
        <f>SUM(T14*V14*X14)</f>
        <v>1350000</v>
      </c>
      <c r="AB14" s="41"/>
      <c r="AC14" s="41"/>
      <c r="AD14" s="41"/>
    </row>
    <row r="15" spans="1:30" ht="150" customHeight="1" x14ac:dyDescent="0.4">
      <c r="A15" s="59"/>
      <c r="B15" s="60"/>
      <c r="C15" s="59"/>
      <c r="D15" s="60"/>
      <c r="E15" s="33" t="s">
        <v>102</v>
      </c>
      <c r="F15" s="34"/>
      <c r="G15" s="34"/>
      <c r="H15" s="44"/>
      <c r="I15" s="45" t="s">
        <v>104</v>
      </c>
      <c r="J15" s="46"/>
      <c r="K15" s="46"/>
      <c r="L15" s="46"/>
      <c r="M15" s="46"/>
      <c r="N15" s="46"/>
      <c r="O15" s="46"/>
      <c r="P15" s="46"/>
      <c r="Q15" s="46"/>
      <c r="R15" s="46"/>
      <c r="S15" s="47"/>
      <c r="T15" s="48">
        <v>5</v>
      </c>
      <c r="U15" s="49"/>
      <c r="V15" s="50">
        <v>3</v>
      </c>
      <c r="W15" s="51"/>
      <c r="X15" s="41">
        <v>180000</v>
      </c>
      <c r="Y15" s="41"/>
      <c r="Z15" s="42"/>
      <c r="AA15" s="43">
        <f>SUM(T15*V15*X15)</f>
        <v>2700000</v>
      </c>
      <c r="AB15" s="41"/>
      <c r="AC15" s="41"/>
      <c r="AD15" s="41"/>
    </row>
    <row r="16" spans="1:30" ht="150" customHeight="1" x14ac:dyDescent="0.4">
      <c r="A16" s="59"/>
      <c r="B16" s="60"/>
      <c r="C16" s="59"/>
      <c r="D16" s="60"/>
      <c r="E16" s="33" t="s">
        <v>103</v>
      </c>
      <c r="F16" s="34"/>
      <c r="G16" s="34"/>
      <c r="H16" s="44"/>
      <c r="I16" s="45" t="s">
        <v>105</v>
      </c>
      <c r="J16" s="46"/>
      <c r="K16" s="46"/>
      <c r="L16" s="46"/>
      <c r="M16" s="46"/>
      <c r="N16" s="46"/>
      <c r="O16" s="46"/>
      <c r="P16" s="46"/>
      <c r="Q16" s="46"/>
      <c r="R16" s="46"/>
      <c r="S16" s="47"/>
      <c r="T16" s="48">
        <v>3</v>
      </c>
      <c r="U16" s="49"/>
      <c r="V16" s="50">
        <v>1</v>
      </c>
      <c r="W16" s="51"/>
      <c r="X16" s="41">
        <v>200000</v>
      </c>
      <c r="Y16" s="41"/>
      <c r="Z16" s="42"/>
      <c r="AA16" s="43">
        <f>SUM(T16*V16*X16)</f>
        <v>600000</v>
      </c>
      <c r="AB16" s="41"/>
      <c r="AC16" s="41"/>
      <c r="AD16" s="41"/>
    </row>
    <row r="17" spans="1:30" ht="150" customHeight="1" x14ac:dyDescent="0.4">
      <c r="A17" s="61"/>
      <c r="B17" s="62"/>
      <c r="C17" s="61"/>
      <c r="D17" s="62"/>
      <c r="E17" s="33" t="s">
        <v>92</v>
      </c>
      <c r="F17" s="34"/>
      <c r="G17" s="34"/>
      <c r="H17" s="44"/>
      <c r="I17" s="45" t="s">
        <v>106</v>
      </c>
      <c r="J17" s="46"/>
      <c r="K17" s="46"/>
      <c r="L17" s="46"/>
      <c r="M17" s="46"/>
      <c r="N17" s="46"/>
      <c r="O17" s="46"/>
      <c r="P17" s="46"/>
      <c r="Q17" s="46"/>
      <c r="R17" s="46"/>
      <c r="S17" s="47"/>
      <c r="T17" s="48">
        <v>1</v>
      </c>
      <c r="U17" s="49"/>
      <c r="V17" s="50">
        <v>1</v>
      </c>
      <c r="W17" s="51"/>
      <c r="X17" s="41">
        <v>200000</v>
      </c>
      <c r="Y17" s="41"/>
      <c r="Z17" s="42"/>
      <c r="AA17" s="43">
        <f>SUM(T17*V17*X17)</f>
        <v>200000</v>
      </c>
      <c r="AB17" s="41"/>
      <c r="AC17" s="41"/>
      <c r="AD17" s="41"/>
    </row>
    <row r="18" spans="1:30" ht="34.950000000000003" customHeight="1" x14ac:dyDescent="0.4">
      <c r="A18" s="52" t="s">
        <v>8</v>
      </c>
      <c r="B18" s="52"/>
      <c r="C18" s="52"/>
      <c r="D18" s="52"/>
      <c r="E18" s="53">
        <f>SUM(T18*0.1)</f>
        <v>500000</v>
      </c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4" t="s">
        <v>7</v>
      </c>
      <c r="Q18" s="54"/>
      <c r="R18" s="54"/>
      <c r="S18" s="54"/>
      <c r="T18" s="55">
        <f>SUM(AA13:AD17)</f>
        <v>5000000</v>
      </c>
      <c r="U18" s="56"/>
      <c r="V18" s="56"/>
      <c r="W18" s="56"/>
      <c r="X18" s="56"/>
      <c r="Y18" s="56"/>
      <c r="Z18" s="56"/>
      <c r="AA18" s="56"/>
      <c r="AB18" s="56"/>
      <c r="AC18" s="56"/>
      <c r="AD18" s="56"/>
    </row>
    <row r="19" spans="1:30" ht="34.950000000000003" customHeight="1" x14ac:dyDescent="0.4">
      <c r="A19" s="31" t="s">
        <v>9</v>
      </c>
      <c r="B19" s="31"/>
      <c r="C19" s="31"/>
      <c r="D19" s="32"/>
      <c r="E19" s="33" t="s">
        <v>35</v>
      </c>
      <c r="F19" s="34"/>
      <c r="G19" s="34"/>
      <c r="H19" s="34"/>
      <c r="I19" s="34"/>
      <c r="J19" s="34"/>
      <c r="K19" s="35" t="s">
        <v>10</v>
      </c>
      <c r="L19" s="31"/>
      <c r="M19" s="31"/>
      <c r="N19" s="32"/>
      <c r="O19" s="36" t="str">
        <f>IF(E19="국민은행 [A]", "830501-04-224154", IF(E19="국민은행 [B]", "97112978846", IF(E19="우리은행", "1005-104-299487", IF(E19="기업은행", "052-111285-04-020", IF(E19="신한은행", "140-013-733156", "X")))))</f>
        <v>97112978846</v>
      </c>
      <c r="P19" s="36"/>
      <c r="Q19" s="36"/>
      <c r="R19" s="36"/>
      <c r="S19" s="36"/>
      <c r="T19" s="36"/>
      <c r="U19" s="35" t="s">
        <v>11</v>
      </c>
      <c r="V19" s="31"/>
      <c r="W19" s="31"/>
      <c r="X19" s="32"/>
      <c r="Y19" s="33" t="s">
        <v>21</v>
      </c>
      <c r="Z19" s="34"/>
      <c r="AA19" s="34"/>
      <c r="AB19" s="34"/>
      <c r="AC19" s="34"/>
      <c r="AD19" s="34"/>
    </row>
    <row r="20" spans="1:30" ht="15" customHeight="1" thickBot="1" x14ac:dyDescent="0.45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</row>
    <row r="21" spans="1:30" ht="25.05" customHeight="1" thickTop="1" x14ac:dyDescent="0.4">
      <c r="A21" s="28" t="s">
        <v>43</v>
      </c>
      <c r="B21" s="38" t="s">
        <v>37</v>
      </c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9"/>
    </row>
    <row r="22" spans="1:30" ht="25.05" customHeight="1" x14ac:dyDescent="0.4">
      <c r="A22" s="32"/>
      <c r="B22" s="24" t="s">
        <v>38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5"/>
    </row>
    <row r="23" spans="1:30" ht="25.05" customHeight="1" x14ac:dyDescent="0.4">
      <c r="A23" s="32"/>
      <c r="B23" s="24" t="s">
        <v>39</v>
      </c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5"/>
    </row>
    <row r="24" spans="1:30" ht="25.05" hidden="1" customHeight="1" x14ac:dyDescent="0.4">
      <c r="A24" s="32"/>
      <c r="B24" s="24" t="s">
        <v>69</v>
      </c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5"/>
    </row>
    <row r="25" spans="1:30" ht="25.05" hidden="1" customHeight="1" x14ac:dyDescent="0.4">
      <c r="A25" s="32"/>
      <c r="B25" s="24" t="s">
        <v>61</v>
      </c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5"/>
    </row>
    <row r="26" spans="1:30" ht="25.05" hidden="1" customHeight="1" x14ac:dyDescent="0.4">
      <c r="A26" s="32"/>
      <c r="B26" s="25" t="s">
        <v>70</v>
      </c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</row>
    <row r="27" spans="1:30" ht="25.05" hidden="1" customHeight="1" x14ac:dyDescent="0.4">
      <c r="A27" s="32"/>
      <c r="B27" s="24" t="s">
        <v>62</v>
      </c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5"/>
    </row>
    <row r="28" spans="1:30" ht="25.05" hidden="1" customHeight="1" x14ac:dyDescent="0.4">
      <c r="A28" s="32"/>
      <c r="B28" s="24" t="s">
        <v>63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5"/>
    </row>
    <row r="29" spans="1:30" ht="25.05" hidden="1" customHeight="1" x14ac:dyDescent="0.4">
      <c r="A29" s="32"/>
      <c r="B29" s="24" t="s">
        <v>64</v>
      </c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5"/>
    </row>
    <row r="30" spans="1:30" ht="25.05" customHeight="1" x14ac:dyDescent="0.4">
      <c r="A30" s="32"/>
      <c r="B30" s="24" t="s">
        <v>65</v>
      </c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5"/>
    </row>
    <row r="31" spans="1:30" s="5" customFormat="1" ht="15" hidden="1" customHeight="1" thickBot="1" x14ac:dyDescent="0.45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</row>
    <row r="32" spans="1:30" s="5" customFormat="1" ht="25.05" hidden="1" customHeight="1" thickTop="1" x14ac:dyDescent="0.4">
      <c r="A32" s="20" t="s">
        <v>42</v>
      </c>
      <c r="B32" s="29" t="s">
        <v>44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30"/>
    </row>
    <row r="33" spans="1:30" s="5" customFormat="1" ht="25.05" hidden="1" customHeight="1" x14ac:dyDescent="0.4">
      <c r="A33" s="27"/>
      <c r="B33" s="24" t="s">
        <v>58</v>
      </c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5"/>
    </row>
    <row r="34" spans="1:30" s="5" customFormat="1" ht="25.05" hidden="1" customHeight="1" x14ac:dyDescent="0.4">
      <c r="A34" s="27"/>
      <c r="B34" s="24" t="s">
        <v>45</v>
      </c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5"/>
    </row>
    <row r="35" spans="1:30" s="5" customFormat="1" ht="25.05" hidden="1" customHeight="1" x14ac:dyDescent="0.4">
      <c r="A35" s="27"/>
      <c r="B35" s="24" t="s">
        <v>46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5"/>
    </row>
    <row r="36" spans="1:30" s="5" customFormat="1" ht="25.05" hidden="1" customHeight="1" x14ac:dyDescent="0.4">
      <c r="A36" s="27"/>
      <c r="B36" s="24" t="s">
        <v>47</v>
      </c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5"/>
    </row>
    <row r="37" spans="1:30" s="5" customFormat="1" ht="25.05" hidden="1" customHeight="1" x14ac:dyDescent="0.4">
      <c r="A37" s="28"/>
      <c r="B37" s="24" t="s">
        <v>48</v>
      </c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5"/>
    </row>
    <row r="38" spans="1:30" s="5" customFormat="1" ht="15" hidden="1" customHeight="1" x14ac:dyDescent="0.4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spans="1:30" s="5" customFormat="1" ht="30" hidden="1" customHeight="1" thickBot="1" x14ac:dyDescent="0.45">
      <c r="A39" s="18" t="s">
        <v>68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</row>
    <row r="40" spans="1:30" s="5" customFormat="1" ht="25.05" hidden="1" customHeight="1" thickTop="1" x14ac:dyDescent="0.4">
      <c r="A40" s="19" t="s">
        <v>49</v>
      </c>
      <c r="B40" s="19"/>
      <c r="C40" s="19"/>
      <c r="D40" s="19"/>
      <c r="E40" s="20"/>
      <c r="F40" s="21" t="s">
        <v>53</v>
      </c>
      <c r="G40" s="22"/>
      <c r="H40" s="22"/>
      <c r="I40" s="22"/>
      <c r="J40" s="23"/>
      <c r="K40" s="22" t="s">
        <v>54</v>
      </c>
      <c r="L40" s="22"/>
      <c r="M40" s="22"/>
      <c r="N40" s="22"/>
      <c r="O40" s="23"/>
      <c r="P40" s="22" t="s">
        <v>50</v>
      </c>
      <c r="Q40" s="22"/>
      <c r="R40" s="22"/>
      <c r="S40" s="22"/>
      <c r="T40" s="23"/>
      <c r="U40" s="21" t="s">
        <v>51</v>
      </c>
      <c r="V40" s="22"/>
      <c r="W40" s="22"/>
      <c r="X40" s="22"/>
      <c r="Y40" s="23"/>
      <c r="Z40" s="19" t="s">
        <v>52</v>
      </c>
      <c r="AA40" s="19"/>
      <c r="AB40" s="19"/>
      <c r="AC40" s="19"/>
      <c r="AD40" s="19"/>
    </row>
    <row r="41" spans="1:30" s="5" customFormat="1" ht="25.05" hidden="1" customHeight="1" x14ac:dyDescent="0.4">
      <c r="A41" s="9" t="s">
        <v>59</v>
      </c>
      <c r="B41" s="9"/>
      <c r="C41" s="9"/>
      <c r="D41" s="9"/>
      <c r="E41" s="10"/>
      <c r="F41" s="12">
        <v>463265</v>
      </c>
      <c r="G41" s="12"/>
      <c r="H41" s="12"/>
      <c r="I41" s="12"/>
      <c r="J41" s="13"/>
      <c r="K41" s="11">
        <v>9543259</v>
      </c>
      <c r="L41" s="12"/>
      <c r="M41" s="12"/>
      <c r="N41" s="12"/>
      <c r="O41" s="13"/>
      <c r="P41" s="11">
        <f>SUM(K41*1.1)</f>
        <v>10497584.9</v>
      </c>
      <c r="Q41" s="12"/>
      <c r="R41" s="12"/>
      <c r="S41" s="12"/>
      <c r="T41" s="13"/>
      <c r="U41" s="11" cm="1">
        <f t="array" ref="U41">SUM(K41:T41*0.2)</f>
        <v>4008168.7800000003</v>
      </c>
      <c r="V41" s="12"/>
      <c r="W41" s="12"/>
      <c r="X41" s="12"/>
      <c r="Y41" s="13"/>
      <c r="Z41" s="12">
        <f>SUM(F41:Y41)</f>
        <v>24512277.68</v>
      </c>
      <c r="AA41" s="12"/>
      <c r="AB41" s="12"/>
      <c r="AC41" s="12"/>
      <c r="AD41" s="12"/>
    </row>
    <row r="42" spans="1:30" s="5" customFormat="1" ht="25.05" hidden="1" customHeight="1" x14ac:dyDescent="0.4">
      <c r="A42" s="16" t="s">
        <v>56</v>
      </c>
      <c r="B42" s="16"/>
      <c r="C42" s="16"/>
      <c r="D42" s="16"/>
      <c r="E42" s="17"/>
      <c r="F42" s="11">
        <v>291414</v>
      </c>
      <c r="G42" s="12"/>
      <c r="H42" s="12"/>
      <c r="I42" s="12"/>
      <c r="J42" s="13"/>
      <c r="K42" s="11">
        <v>6003128</v>
      </c>
      <c r="L42" s="12"/>
      <c r="M42" s="12"/>
      <c r="N42" s="12"/>
      <c r="O42" s="13"/>
      <c r="P42" s="11">
        <f>SUM(K42*1.1)</f>
        <v>6603440.8000000007</v>
      </c>
      <c r="Q42" s="12"/>
      <c r="R42" s="12"/>
      <c r="S42" s="12"/>
      <c r="T42" s="13"/>
      <c r="U42" s="11" cm="1">
        <f t="array" ref="U42">SUM(K42:T42*0.2)</f>
        <v>2521313.7600000002</v>
      </c>
      <c r="V42" s="12"/>
      <c r="W42" s="12"/>
      <c r="X42" s="12"/>
      <c r="Y42" s="12"/>
      <c r="Z42" s="11">
        <f t="shared" ref="Z42:Z44" si="0">SUM(F42:Y42)</f>
        <v>15419296.560000001</v>
      </c>
      <c r="AA42" s="12"/>
      <c r="AB42" s="12"/>
      <c r="AC42" s="12"/>
      <c r="AD42" s="12"/>
    </row>
    <row r="43" spans="1:30" s="5" customFormat="1" ht="25.05" hidden="1" customHeight="1" x14ac:dyDescent="0.4">
      <c r="A43" s="14" t="s">
        <v>57</v>
      </c>
      <c r="B43" s="14"/>
      <c r="C43" s="14"/>
      <c r="D43" s="14"/>
      <c r="E43" s="15"/>
      <c r="F43" s="11">
        <v>291414</v>
      </c>
      <c r="G43" s="12"/>
      <c r="H43" s="12"/>
      <c r="I43" s="12"/>
      <c r="J43" s="13"/>
      <c r="K43" s="11">
        <v>6003128</v>
      </c>
      <c r="L43" s="12"/>
      <c r="M43" s="12"/>
      <c r="N43" s="12"/>
      <c r="O43" s="13"/>
      <c r="P43" s="11">
        <f>SUM(K43*1.1)</f>
        <v>6603440.8000000007</v>
      </c>
      <c r="Q43" s="12"/>
      <c r="R43" s="12"/>
      <c r="S43" s="12"/>
      <c r="T43" s="13"/>
      <c r="U43" s="11" cm="1">
        <f t="array" ref="U43">SUM(K43:T43*0.2)</f>
        <v>2521313.7600000002</v>
      </c>
      <c r="V43" s="12"/>
      <c r="W43" s="12"/>
      <c r="X43" s="12"/>
      <c r="Y43" s="12"/>
      <c r="Z43" s="11">
        <f t="shared" si="0"/>
        <v>15419296.560000001</v>
      </c>
      <c r="AA43" s="12"/>
      <c r="AB43" s="12"/>
      <c r="AC43" s="12"/>
      <c r="AD43" s="12"/>
    </row>
    <row r="44" spans="1:30" s="5" customFormat="1" ht="25.05" hidden="1" customHeight="1" x14ac:dyDescent="0.4">
      <c r="A44" s="9" t="s">
        <v>55</v>
      </c>
      <c r="B44" s="9"/>
      <c r="C44" s="9"/>
      <c r="D44" s="9"/>
      <c r="E44" s="10"/>
      <c r="F44" s="11">
        <v>217843</v>
      </c>
      <c r="G44" s="12"/>
      <c r="H44" s="12"/>
      <c r="I44" s="12"/>
      <c r="J44" s="13"/>
      <c r="K44" s="11">
        <v>4487566</v>
      </c>
      <c r="L44" s="12"/>
      <c r="M44" s="12"/>
      <c r="N44" s="12"/>
      <c r="O44" s="13"/>
      <c r="P44" s="11">
        <f>SUM(K44*1.1)</f>
        <v>4936322.6000000006</v>
      </c>
      <c r="Q44" s="12"/>
      <c r="R44" s="12"/>
      <c r="S44" s="12"/>
      <c r="T44" s="13"/>
      <c r="U44" s="11" cm="1">
        <f t="array" ref="U44">SUM(K44:T44*0.2)</f>
        <v>1884777.7200000002</v>
      </c>
      <c r="V44" s="12"/>
      <c r="W44" s="12"/>
      <c r="X44" s="12"/>
      <c r="Y44" s="12"/>
      <c r="Z44" s="11">
        <f t="shared" si="0"/>
        <v>11526509.320000002</v>
      </c>
      <c r="AA44" s="12"/>
      <c r="AB44" s="12"/>
      <c r="AC44" s="12"/>
      <c r="AD44" s="12"/>
    </row>
    <row r="45" spans="1:30" ht="15" customHeight="1" thickBot="1" x14ac:dyDescent="0.45">
      <c r="AA45" s="6"/>
    </row>
    <row r="46" spans="1:30" ht="2.5499999999999998" customHeight="1" x14ac:dyDescent="0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100.05" customHeight="1" x14ac:dyDescent="0.4">
      <c r="A47" s="7" t="s">
        <v>29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spans="1:30" ht="19.95" customHeight="1" x14ac:dyDescent="0.4"/>
    <row r="49" ht="19.95" customHeight="1" x14ac:dyDescent="0.4"/>
    <row r="50" ht="19.95" customHeight="1" x14ac:dyDescent="0.4"/>
    <row r="51" ht="19.95" customHeight="1" x14ac:dyDescent="0.4"/>
    <row r="52" ht="19.95" customHeight="1" x14ac:dyDescent="0.4"/>
    <row r="53" ht="19.95" customHeight="1" x14ac:dyDescent="0.4"/>
    <row r="54" ht="19.95" customHeight="1" x14ac:dyDescent="0.4"/>
  </sheetData>
  <dataConsolidate/>
  <mergeCells count="135">
    <mergeCell ref="S4:AD4"/>
    <mergeCell ref="B5:C5"/>
    <mergeCell ref="D5:O5"/>
    <mergeCell ref="Q5:R5"/>
    <mergeCell ref="S5:Y5"/>
    <mergeCell ref="Z5:AA5"/>
    <mergeCell ref="AB5:AD5"/>
    <mergeCell ref="A1:AD1"/>
    <mergeCell ref="A2:AD2"/>
    <mergeCell ref="A3:U3"/>
    <mergeCell ref="Z3:AA3"/>
    <mergeCell ref="AB3:AD3"/>
    <mergeCell ref="A4:A8"/>
    <mergeCell ref="B4:C4"/>
    <mergeCell ref="D4:O4"/>
    <mergeCell ref="P4:P8"/>
    <mergeCell ref="Q4:R4"/>
    <mergeCell ref="B8:C8"/>
    <mergeCell ref="D8:O8"/>
    <mergeCell ref="Q8:R8"/>
    <mergeCell ref="S8:AD8"/>
    <mergeCell ref="A9:AD9"/>
    <mergeCell ref="A10:F10"/>
    <mergeCell ref="G10:AD10"/>
    <mergeCell ref="B6:C6"/>
    <mergeCell ref="D6:O6"/>
    <mergeCell ref="Q6:R6"/>
    <mergeCell ref="S6:AD6"/>
    <mergeCell ref="B7:C7"/>
    <mergeCell ref="D7:O7"/>
    <mergeCell ref="Q7:R7"/>
    <mergeCell ref="S7:AD7"/>
    <mergeCell ref="A11:AD11"/>
    <mergeCell ref="A12:B12"/>
    <mergeCell ref="C12:D12"/>
    <mergeCell ref="E12:H12"/>
    <mergeCell ref="I12:S12"/>
    <mergeCell ref="T12:U12"/>
    <mergeCell ref="V12:W12"/>
    <mergeCell ref="X12:Z12"/>
    <mergeCell ref="AA12:AD12"/>
    <mergeCell ref="X13:Z13"/>
    <mergeCell ref="AA13:AD13"/>
    <mergeCell ref="E14:H14"/>
    <mergeCell ref="I14:S14"/>
    <mergeCell ref="T14:U14"/>
    <mergeCell ref="V14:W14"/>
    <mergeCell ref="X14:Z14"/>
    <mergeCell ref="AA14:AD14"/>
    <mergeCell ref="A13:B17"/>
    <mergeCell ref="C13:D17"/>
    <mergeCell ref="E13:H13"/>
    <mergeCell ref="I13:S13"/>
    <mergeCell ref="T13:U13"/>
    <mergeCell ref="V13:W13"/>
    <mergeCell ref="E15:H15"/>
    <mergeCell ref="I15:S15"/>
    <mergeCell ref="T15:U15"/>
    <mergeCell ref="V15:W15"/>
    <mergeCell ref="E17:H17"/>
    <mergeCell ref="I17:S17"/>
    <mergeCell ref="T17:U17"/>
    <mergeCell ref="V17:W17"/>
    <mergeCell ref="X17:Z17"/>
    <mergeCell ref="AA17:AD17"/>
    <mergeCell ref="X15:Z15"/>
    <mergeCell ref="AA15:AD15"/>
    <mergeCell ref="E16:H16"/>
    <mergeCell ref="I16:S16"/>
    <mergeCell ref="T16:U16"/>
    <mergeCell ref="V16:W16"/>
    <mergeCell ref="X16:Z16"/>
    <mergeCell ref="AA16:AD16"/>
    <mergeCell ref="A18:D18"/>
    <mergeCell ref="E18:O18"/>
    <mergeCell ref="P18:S18"/>
    <mergeCell ref="T18:AD18"/>
    <mergeCell ref="A19:D19"/>
    <mergeCell ref="E19:J19"/>
    <mergeCell ref="K19:N19"/>
    <mergeCell ref="O19:T19"/>
    <mergeCell ref="U19:X19"/>
    <mergeCell ref="Y19:AD19"/>
    <mergeCell ref="A20:AD20"/>
    <mergeCell ref="A21:A30"/>
    <mergeCell ref="B21:AD21"/>
    <mergeCell ref="B22:AD22"/>
    <mergeCell ref="B23:AD23"/>
    <mergeCell ref="B24:AD24"/>
    <mergeCell ref="B25:AD25"/>
    <mergeCell ref="B26:AD26"/>
    <mergeCell ref="B27:AD27"/>
    <mergeCell ref="B28:AD28"/>
    <mergeCell ref="A39:AD39"/>
    <mergeCell ref="A40:E40"/>
    <mergeCell ref="F40:J40"/>
    <mergeCell ref="K40:O40"/>
    <mergeCell ref="P40:T40"/>
    <mergeCell ref="U40:Y40"/>
    <mergeCell ref="Z40:AD40"/>
    <mergeCell ref="B29:AD29"/>
    <mergeCell ref="B30:AD30"/>
    <mergeCell ref="A31:AD31"/>
    <mergeCell ref="A32:A37"/>
    <mergeCell ref="B32:AD32"/>
    <mergeCell ref="B33:AD33"/>
    <mergeCell ref="B34:AD34"/>
    <mergeCell ref="B35:AD35"/>
    <mergeCell ref="B36:AD36"/>
    <mergeCell ref="B37:AD37"/>
    <mergeCell ref="A42:E42"/>
    <mergeCell ref="F42:J42"/>
    <mergeCell ref="K42:O42"/>
    <mergeCell ref="P42:T42"/>
    <mergeCell ref="U42:Y42"/>
    <mergeCell ref="Z42:AD42"/>
    <mergeCell ref="A41:E41"/>
    <mergeCell ref="F41:J41"/>
    <mergeCell ref="K41:O41"/>
    <mergeCell ref="P41:T41"/>
    <mergeCell ref="U41:Y41"/>
    <mergeCell ref="Z41:AD41"/>
    <mergeCell ref="A47:AD47"/>
    <mergeCell ref="A44:E44"/>
    <mergeCell ref="F44:J44"/>
    <mergeCell ref="K44:O44"/>
    <mergeCell ref="P44:T44"/>
    <mergeCell ref="U44:Y44"/>
    <mergeCell ref="Z44:AD44"/>
    <mergeCell ref="A43:E43"/>
    <mergeCell ref="F43:J43"/>
    <mergeCell ref="K43:O43"/>
    <mergeCell ref="P43:T43"/>
    <mergeCell ref="U43:Y43"/>
    <mergeCell ref="Z43:AD43"/>
  </mergeCells>
  <phoneticPr fontId="1" type="noConversion"/>
  <hyperlinks>
    <hyperlink ref="S8" r:id="rId1" xr:uid="{6B4C5345-6F99-1143-92F6-0A60969E4DE2}"/>
    <hyperlink ref="D8" r:id="rId2" xr:uid="{D18392D0-DBB9-AF4D-80D1-9A6BBCA7D8F1}"/>
  </hyperlinks>
  <pageMargins left="0.7" right="0.7" top="0.75" bottom="0.75" header="0.3" footer="0.3"/>
  <pageSetup paperSize="9" scale="47" orientation="portrait" r:id="rId3"/>
  <headerFooter>
    <oddHeader>&amp;C
&amp;G</oddHeader>
  </headerFooter>
  <drawing r:id="rId4"/>
  <legacyDrawingHF r:id="rId5"/>
  <picture r:id="rId6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B7D42EB-575E-C94E-B1EE-FFE1526863AA}">
          <x14:formula1>
            <xm:f>데이터!$C$2:$C$4</xm:f>
          </x14:formula1>
          <xm:sqref>B30:AD30</xm:sqref>
        </x14:dataValidation>
        <x14:dataValidation type="list" allowBlank="1" showInputMessage="1" showErrorMessage="1" xr:uid="{A074C8F2-A8A7-B140-AF4C-0C79BC51EF84}">
          <x14:formula1>
            <xm:f>데이터!$A$2:$A$6</xm:f>
          </x14:formula1>
          <xm:sqref>E19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4774F-06A9-614F-AB6E-485C1F7A5A2B}">
  <sheetPr>
    <pageSetUpPr fitToPage="1"/>
  </sheetPr>
  <dimension ref="A1:AD54"/>
  <sheetViews>
    <sheetView showGridLines="0" view="pageBreakPreview" topLeftCell="A16" zoomScale="75" zoomScaleNormal="100" zoomScaleSheetLayoutView="115" workbookViewId="0">
      <selection activeCell="C58" sqref="C58"/>
    </sheetView>
  </sheetViews>
  <sheetFormatPr defaultColWidth="8.796875" defaultRowHeight="17.399999999999999" x14ac:dyDescent="0.4"/>
  <cols>
    <col min="1" max="30" width="5.69921875" customWidth="1"/>
  </cols>
  <sheetData>
    <row r="1" spans="1:30" ht="100.05" customHeight="1" x14ac:dyDescent="0.6">
      <c r="A1" s="80" t="s">
        <v>30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</row>
    <row r="2" spans="1:30" ht="19.95" customHeight="1" x14ac:dyDescent="0.6">
      <c r="A2" s="80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</row>
    <row r="3" spans="1:30" ht="19.95" customHeight="1" thickBot="1" x14ac:dyDescent="0.45">
      <c r="A3" s="63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74"/>
      <c r="T3" s="74"/>
      <c r="U3" s="74"/>
      <c r="V3" s="3"/>
      <c r="W3" s="3"/>
      <c r="X3" s="3"/>
      <c r="Y3" s="1"/>
      <c r="Z3" s="81" t="s">
        <v>16</v>
      </c>
      <c r="AA3" s="81"/>
      <c r="AB3" s="82" t="s">
        <v>124</v>
      </c>
      <c r="AC3" s="82"/>
      <c r="AD3" s="82"/>
    </row>
    <row r="4" spans="1:30" ht="34.950000000000003" customHeight="1" thickTop="1" x14ac:dyDescent="0.4">
      <c r="A4" s="83" t="s">
        <v>14</v>
      </c>
      <c r="B4" s="85" t="s">
        <v>28</v>
      </c>
      <c r="C4" s="85"/>
      <c r="D4" s="86">
        <v>45397</v>
      </c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7" t="s">
        <v>15</v>
      </c>
      <c r="Q4" s="85" t="s">
        <v>17</v>
      </c>
      <c r="R4" s="85"/>
      <c r="S4" s="78" t="s">
        <v>27</v>
      </c>
      <c r="T4" s="78"/>
      <c r="U4" s="78"/>
      <c r="V4" s="78"/>
      <c r="W4" s="78"/>
      <c r="X4" s="78"/>
      <c r="Y4" s="78"/>
      <c r="Z4" s="78"/>
      <c r="AA4" s="78"/>
      <c r="AB4" s="78"/>
      <c r="AC4" s="78"/>
      <c r="AD4" s="79"/>
    </row>
    <row r="5" spans="1:30" ht="34.950000000000003" customHeight="1" x14ac:dyDescent="0.4">
      <c r="A5" s="84"/>
      <c r="B5" s="77" t="s">
        <v>40</v>
      </c>
      <c r="C5" s="77"/>
      <c r="D5" s="77" t="s">
        <v>125</v>
      </c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88"/>
      <c r="Q5" s="77" t="s">
        <v>40</v>
      </c>
      <c r="R5" s="77"/>
      <c r="S5" s="33" t="s">
        <v>21</v>
      </c>
      <c r="T5" s="34"/>
      <c r="U5" s="34"/>
      <c r="V5" s="34"/>
      <c r="W5" s="34"/>
      <c r="X5" s="34"/>
      <c r="Y5" s="44"/>
      <c r="Z5" s="33" t="s">
        <v>22</v>
      </c>
      <c r="AA5" s="44"/>
      <c r="AB5" s="33" t="s">
        <v>23</v>
      </c>
      <c r="AC5" s="34"/>
      <c r="AD5" s="34"/>
    </row>
    <row r="6" spans="1:30" ht="34.950000000000003" customHeight="1" x14ac:dyDescent="0.4">
      <c r="A6" s="84"/>
      <c r="B6" s="77" t="s">
        <v>18</v>
      </c>
      <c r="C6" s="77"/>
      <c r="D6" s="77" t="s">
        <v>126</v>
      </c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88"/>
      <c r="Q6" s="77" t="s">
        <v>18</v>
      </c>
      <c r="R6" s="77"/>
      <c r="S6" s="77" t="s">
        <v>121</v>
      </c>
      <c r="T6" s="77"/>
      <c r="U6" s="77"/>
      <c r="V6" s="77"/>
      <c r="W6" s="77"/>
      <c r="X6" s="77"/>
      <c r="Y6" s="77"/>
      <c r="Z6" s="77"/>
      <c r="AA6" s="77"/>
      <c r="AB6" s="77"/>
      <c r="AC6" s="77"/>
      <c r="AD6" s="33"/>
    </row>
    <row r="7" spans="1:30" ht="34.950000000000003" customHeight="1" x14ac:dyDescent="0.4">
      <c r="A7" s="84"/>
      <c r="B7" s="77" t="s">
        <v>19</v>
      </c>
      <c r="C7" s="77"/>
      <c r="D7" s="77" t="s">
        <v>76</v>
      </c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88"/>
      <c r="Q7" s="77" t="s">
        <v>19</v>
      </c>
      <c r="R7" s="77"/>
      <c r="S7" s="77" t="s">
        <v>122</v>
      </c>
      <c r="T7" s="77"/>
      <c r="U7" s="77"/>
      <c r="V7" s="77"/>
      <c r="W7" s="77"/>
      <c r="X7" s="77"/>
      <c r="Y7" s="77"/>
      <c r="Z7" s="77"/>
      <c r="AA7" s="77"/>
      <c r="AB7" s="77"/>
      <c r="AC7" s="77"/>
      <c r="AD7" s="33"/>
    </row>
    <row r="8" spans="1:30" ht="34.950000000000003" customHeight="1" x14ac:dyDescent="0.4">
      <c r="A8" s="84"/>
      <c r="B8" s="77" t="s">
        <v>20</v>
      </c>
      <c r="C8" s="77"/>
      <c r="D8" s="89" t="s">
        <v>127</v>
      </c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88"/>
      <c r="Q8" s="77" t="s">
        <v>20</v>
      </c>
      <c r="R8" s="77"/>
      <c r="S8" s="89" t="s">
        <v>123</v>
      </c>
      <c r="T8" s="77"/>
      <c r="U8" s="77"/>
      <c r="V8" s="77"/>
      <c r="W8" s="77"/>
      <c r="X8" s="77"/>
      <c r="Y8" s="77"/>
      <c r="Z8" s="77"/>
      <c r="AA8" s="77"/>
      <c r="AB8" s="77"/>
      <c r="AC8" s="77"/>
      <c r="AD8" s="33"/>
    </row>
    <row r="9" spans="1:30" ht="49.95" customHeight="1" thickBot="1" x14ac:dyDescent="0.45">
      <c r="A9" s="74" t="s">
        <v>12</v>
      </c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</row>
    <row r="10" spans="1:30" ht="34.950000000000003" customHeight="1" thickTop="1" x14ac:dyDescent="0.4">
      <c r="A10" s="64" t="s">
        <v>13</v>
      </c>
      <c r="B10" s="64"/>
      <c r="C10" s="64"/>
      <c r="D10" s="64"/>
      <c r="E10" s="64"/>
      <c r="F10" s="65"/>
      <c r="G10" s="75">
        <f>SUM(E18,T18)</f>
        <v>5500000</v>
      </c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</row>
    <row r="11" spans="1:30" ht="15" customHeight="1" thickBot="1" x14ac:dyDescent="0.45">
      <c r="A11" s="63"/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</row>
    <row r="12" spans="1:30" ht="34.950000000000003" customHeight="1" thickTop="1" x14ac:dyDescent="0.4">
      <c r="A12" s="64" t="s">
        <v>0</v>
      </c>
      <c r="B12" s="65"/>
      <c r="C12" s="66" t="s">
        <v>1</v>
      </c>
      <c r="D12" s="67"/>
      <c r="E12" s="68" t="s">
        <v>2</v>
      </c>
      <c r="F12" s="64"/>
      <c r="G12" s="64"/>
      <c r="H12" s="65"/>
      <c r="I12" s="68" t="s">
        <v>3</v>
      </c>
      <c r="J12" s="64"/>
      <c r="K12" s="64"/>
      <c r="L12" s="64"/>
      <c r="M12" s="64"/>
      <c r="N12" s="64"/>
      <c r="O12" s="64"/>
      <c r="P12" s="64"/>
      <c r="Q12" s="64"/>
      <c r="R12" s="64"/>
      <c r="S12" s="65"/>
      <c r="T12" s="69" t="s">
        <v>4</v>
      </c>
      <c r="U12" s="70"/>
      <c r="V12" s="71" t="s">
        <v>5</v>
      </c>
      <c r="W12" s="67"/>
      <c r="X12" s="64" t="s">
        <v>41</v>
      </c>
      <c r="Y12" s="64"/>
      <c r="Z12" s="65"/>
      <c r="AA12" s="72" t="s">
        <v>6</v>
      </c>
      <c r="AB12" s="73"/>
      <c r="AC12" s="73"/>
      <c r="AD12" s="73"/>
    </row>
    <row r="13" spans="1:30" ht="150" customHeight="1" x14ac:dyDescent="0.4">
      <c r="A13" s="57" t="s">
        <v>78</v>
      </c>
      <c r="B13" s="58"/>
      <c r="C13" s="57" t="s">
        <v>94</v>
      </c>
      <c r="D13" s="58"/>
      <c r="E13" s="33" t="s">
        <v>77</v>
      </c>
      <c r="F13" s="34"/>
      <c r="G13" s="34"/>
      <c r="H13" s="44"/>
      <c r="I13" s="45" t="s">
        <v>79</v>
      </c>
      <c r="J13" s="46"/>
      <c r="K13" s="46"/>
      <c r="L13" s="46"/>
      <c r="M13" s="46"/>
      <c r="N13" s="46"/>
      <c r="O13" s="46"/>
      <c r="P13" s="46"/>
      <c r="Q13" s="46"/>
      <c r="R13" s="46"/>
      <c r="S13" s="47"/>
      <c r="T13" s="48">
        <v>1</v>
      </c>
      <c r="U13" s="49"/>
      <c r="V13" s="50">
        <v>1</v>
      </c>
      <c r="W13" s="51"/>
      <c r="X13" s="41">
        <v>150000</v>
      </c>
      <c r="Y13" s="41"/>
      <c r="Z13" s="42"/>
      <c r="AA13" s="43">
        <f>SUM(T13*V13*X13)</f>
        <v>150000</v>
      </c>
      <c r="AB13" s="41"/>
      <c r="AC13" s="41"/>
      <c r="AD13" s="41"/>
    </row>
    <row r="14" spans="1:30" ht="150" customHeight="1" x14ac:dyDescent="0.4">
      <c r="A14" s="59"/>
      <c r="B14" s="60"/>
      <c r="C14" s="59"/>
      <c r="D14" s="60"/>
      <c r="E14" s="33" t="s">
        <v>110</v>
      </c>
      <c r="F14" s="34"/>
      <c r="G14" s="34"/>
      <c r="H14" s="44"/>
      <c r="I14" s="45" t="s">
        <v>111</v>
      </c>
      <c r="J14" s="46"/>
      <c r="K14" s="46"/>
      <c r="L14" s="46"/>
      <c r="M14" s="46"/>
      <c r="N14" s="46"/>
      <c r="O14" s="46"/>
      <c r="P14" s="46"/>
      <c r="Q14" s="46"/>
      <c r="R14" s="46"/>
      <c r="S14" s="47"/>
      <c r="T14" s="48">
        <v>3</v>
      </c>
      <c r="U14" s="49"/>
      <c r="V14" s="50">
        <v>3</v>
      </c>
      <c r="W14" s="51"/>
      <c r="X14" s="41">
        <v>150000</v>
      </c>
      <c r="Y14" s="41"/>
      <c r="Z14" s="42"/>
      <c r="AA14" s="43">
        <f>SUM(T14*V14*X14)</f>
        <v>1350000</v>
      </c>
      <c r="AB14" s="41"/>
      <c r="AC14" s="41"/>
      <c r="AD14" s="41"/>
    </row>
    <row r="15" spans="1:30" ht="150" customHeight="1" x14ac:dyDescent="0.4">
      <c r="A15" s="59"/>
      <c r="B15" s="60"/>
      <c r="C15" s="59"/>
      <c r="D15" s="60"/>
      <c r="E15" s="33" t="s">
        <v>114</v>
      </c>
      <c r="F15" s="34"/>
      <c r="G15" s="34"/>
      <c r="H15" s="44"/>
      <c r="I15" s="45" t="s">
        <v>108</v>
      </c>
      <c r="J15" s="46"/>
      <c r="K15" s="46"/>
      <c r="L15" s="46"/>
      <c r="M15" s="46"/>
      <c r="N15" s="46"/>
      <c r="O15" s="46"/>
      <c r="P15" s="46"/>
      <c r="Q15" s="46"/>
      <c r="R15" s="46"/>
      <c r="S15" s="47"/>
      <c r="T15" s="48">
        <v>1</v>
      </c>
      <c r="U15" s="49"/>
      <c r="V15" s="50">
        <v>100</v>
      </c>
      <c r="W15" s="51"/>
      <c r="X15" s="41">
        <v>10000</v>
      </c>
      <c r="Y15" s="41"/>
      <c r="Z15" s="42"/>
      <c r="AA15" s="43">
        <f>SUM(T15*V15*X15)</f>
        <v>1000000</v>
      </c>
      <c r="AB15" s="41"/>
      <c r="AC15" s="41"/>
      <c r="AD15" s="41"/>
    </row>
    <row r="16" spans="1:30" ht="150" customHeight="1" x14ac:dyDescent="0.4">
      <c r="A16" s="59"/>
      <c r="B16" s="60"/>
      <c r="C16" s="59"/>
      <c r="D16" s="60"/>
      <c r="E16" s="33" t="s">
        <v>107</v>
      </c>
      <c r="F16" s="34"/>
      <c r="G16" s="34"/>
      <c r="H16" s="44"/>
      <c r="I16" s="45" t="s">
        <v>109</v>
      </c>
      <c r="J16" s="46"/>
      <c r="K16" s="46"/>
      <c r="L16" s="46"/>
      <c r="M16" s="46"/>
      <c r="N16" s="46"/>
      <c r="O16" s="46"/>
      <c r="P16" s="46"/>
      <c r="Q16" s="46"/>
      <c r="R16" s="46"/>
      <c r="S16" s="47"/>
      <c r="T16" s="48">
        <v>5</v>
      </c>
      <c r="U16" s="49"/>
      <c r="V16" s="50">
        <v>1</v>
      </c>
      <c r="W16" s="51"/>
      <c r="X16" s="41">
        <v>200000</v>
      </c>
      <c r="Y16" s="41"/>
      <c r="Z16" s="42"/>
      <c r="AA16" s="43">
        <f>SUM(T16*V16*X16)</f>
        <v>1000000</v>
      </c>
      <c r="AB16" s="41"/>
      <c r="AC16" s="41"/>
      <c r="AD16" s="41"/>
    </row>
    <row r="17" spans="1:30" ht="150" customHeight="1" x14ac:dyDescent="0.4">
      <c r="A17" s="61"/>
      <c r="B17" s="62"/>
      <c r="C17" s="61"/>
      <c r="D17" s="62"/>
      <c r="E17" s="33" t="s">
        <v>92</v>
      </c>
      <c r="F17" s="34"/>
      <c r="G17" s="34"/>
      <c r="H17" s="44"/>
      <c r="I17" s="45" t="s">
        <v>112</v>
      </c>
      <c r="J17" s="46"/>
      <c r="K17" s="46"/>
      <c r="L17" s="46"/>
      <c r="M17" s="46"/>
      <c r="N17" s="46"/>
      <c r="O17" s="46"/>
      <c r="P17" s="46"/>
      <c r="Q17" s="46"/>
      <c r="R17" s="46"/>
      <c r="S17" s="47"/>
      <c r="T17" s="48">
        <v>1</v>
      </c>
      <c r="U17" s="49"/>
      <c r="V17" s="50">
        <v>1</v>
      </c>
      <c r="W17" s="51"/>
      <c r="X17" s="41">
        <v>1500000</v>
      </c>
      <c r="Y17" s="41"/>
      <c r="Z17" s="42"/>
      <c r="AA17" s="43">
        <f>SUM(T17*V17*X17)</f>
        <v>1500000</v>
      </c>
      <c r="AB17" s="41"/>
      <c r="AC17" s="41"/>
      <c r="AD17" s="41"/>
    </row>
    <row r="18" spans="1:30" ht="34.950000000000003" customHeight="1" x14ac:dyDescent="0.4">
      <c r="A18" s="52" t="s">
        <v>8</v>
      </c>
      <c r="B18" s="52"/>
      <c r="C18" s="52"/>
      <c r="D18" s="52"/>
      <c r="E18" s="53">
        <f>SUM(T18*0.1)</f>
        <v>500000</v>
      </c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4" t="s">
        <v>7</v>
      </c>
      <c r="Q18" s="54"/>
      <c r="R18" s="54"/>
      <c r="S18" s="54"/>
      <c r="T18" s="55">
        <f>SUM(AA13:AD17)</f>
        <v>5000000</v>
      </c>
      <c r="U18" s="56"/>
      <c r="V18" s="56"/>
      <c r="W18" s="56"/>
      <c r="X18" s="56"/>
      <c r="Y18" s="56"/>
      <c r="Z18" s="56"/>
      <c r="AA18" s="56"/>
      <c r="AB18" s="56"/>
      <c r="AC18" s="56"/>
      <c r="AD18" s="56"/>
    </row>
    <row r="19" spans="1:30" ht="34.950000000000003" customHeight="1" x14ac:dyDescent="0.4">
      <c r="A19" s="31" t="s">
        <v>9</v>
      </c>
      <c r="B19" s="31"/>
      <c r="C19" s="31"/>
      <c r="D19" s="32"/>
      <c r="E19" s="33" t="s">
        <v>35</v>
      </c>
      <c r="F19" s="34"/>
      <c r="G19" s="34"/>
      <c r="H19" s="34"/>
      <c r="I19" s="34"/>
      <c r="J19" s="34"/>
      <c r="K19" s="35" t="s">
        <v>10</v>
      </c>
      <c r="L19" s="31"/>
      <c r="M19" s="31"/>
      <c r="N19" s="32"/>
      <c r="O19" s="36" t="str">
        <f>IF(E19="국민은행 [A]", "830501-04-224154", IF(E19="국민은행 [B]", "97112978846", IF(E19="우리은행", "1005-104-299487", IF(E19="기업은행", "052-111285-04-020", IF(E19="신한은행", "140-013-733156", "X")))))</f>
        <v>97112978846</v>
      </c>
      <c r="P19" s="36"/>
      <c r="Q19" s="36"/>
      <c r="R19" s="36"/>
      <c r="S19" s="36"/>
      <c r="T19" s="36"/>
      <c r="U19" s="35" t="s">
        <v>11</v>
      </c>
      <c r="V19" s="31"/>
      <c r="W19" s="31"/>
      <c r="X19" s="32"/>
      <c r="Y19" s="33" t="s">
        <v>21</v>
      </c>
      <c r="Z19" s="34"/>
      <c r="AA19" s="34"/>
      <c r="AB19" s="34"/>
      <c r="AC19" s="34"/>
      <c r="AD19" s="34"/>
    </row>
    <row r="20" spans="1:30" ht="15" customHeight="1" thickBot="1" x14ac:dyDescent="0.45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</row>
    <row r="21" spans="1:30" ht="25.05" customHeight="1" thickTop="1" x14ac:dyDescent="0.4">
      <c r="A21" s="28" t="s">
        <v>43</v>
      </c>
      <c r="B21" s="38" t="s">
        <v>37</v>
      </c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9"/>
    </row>
    <row r="22" spans="1:30" ht="25.05" customHeight="1" x14ac:dyDescent="0.4">
      <c r="A22" s="32"/>
      <c r="B22" s="24" t="s">
        <v>38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5"/>
    </row>
    <row r="23" spans="1:30" ht="25.05" customHeight="1" x14ac:dyDescent="0.4">
      <c r="A23" s="32"/>
      <c r="B23" s="24" t="s">
        <v>39</v>
      </c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5"/>
    </row>
    <row r="24" spans="1:30" ht="25.05" hidden="1" customHeight="1" x14ac:dyDescent="0.4">
      <c r="A24" s="32"/>
      <c r="B24" s="24" t="s">
        <v>69</v>
      </c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5"/>
    </row>
    <row r="25" spans="1:30" ht="25.05" hidden="1" customHeight="1" x14ac:dyDescent="0.4">
      <c r="A25" s="32"/>
      <c r="B25" s="24" t="s">
        <v>61</v>
      </c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5"/>
    </row>
    <row r="26" spans="1:30" ht="25.05" hidden="1" customHeight="1" x14ac:dyDescent="0.4">
      <c r="A26" s="32"/>
      <c r="B26" s="25" t="s">
        <v>70</v>
      </c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</row>
    <row r="27" spans="1:30" ht="25.05" hidden="1" customHeight="1" x14ac:dyDescent="0.4">
      <c r="A27" s="32"/>
      <c r="B27" s="24" t="s">
        <v>62</v>
      </c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5"/>
    </row>
    <row r="28" spans="1:30" ht="25.05" hidden="1" customHeight="1" x14ac:dyDescent="0.4">
      <c r="A28" s="32"/>
      <c r="B28" s="24" t="s">
        <v>63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5"/>
    </row>
    <row r="29" spans="1:30" ht="25.05" hidden="1" customHeight="1" x14ac:dyDescent="0.4">
      <c r="A29" s="32"/>
      <c r="B29" s="24" t="s">
        <v>64</v>
      </c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5"/>
    </row>
    <row r="30" spans="1:30" ht="25.05" customHeight="1" x14ac:dyDescent="0.4">
      <c r="A30" s="32"/>
      <c r="B30" s="24" t="s">
        <v>65</v>
      </c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5"/>
    </row>
    <row r="31" spans="1:30" s="5" customFormat="1" ht="15" hidden="1" customHeight="1" thickBot="1" x14ac:dyDescent="0.45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</row>
    <row r="32" spans="1:30" s="5" customFormat="1" ht="25.05" hidden="1" customHeight="1" thickTop="1" x14ac:dyDescent="0.4">
      <c r="A32" s="20" t="s">
        <v>42</v>
      </c>
      <c r="B32" s="29" t="s">
        <v>44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30"/>
    </row>
    <row r="33" spans="1:30" s="5" customFormat="1" ht="25.05" hidden="1" customHeight="1" x14ac:dyDescent="0.4">
      <c r="A33" s="27"/>
      <c r="B33" s="24" t="s">
        <v>58</v>
      </c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5"/>
    </row>
    <row r="34" spans="1:30" s="5" customFormat="1" ht="25.05" hidden="1" customHeight="1" x14ac:dyDescent="0.4">
      <c r="A34" s="27"/>
      <c r="B34" s="24" t="s">
        <v>45</v>
      </c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5"/>
    </row>
    <row r="35" spans="1:30" s="5" customFormat="1" ht="25.05" hidden="1" customHeight="1" x14ac:dyDescent="0.4">
      <c r="A35" s="27"/>
      <c r="B35" s="24" t="s">
        <v>46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5"/>
    </row>
    <row r="36" spans="1:30" s="5" customFormat="1" ht="25.05" hidden="1" customHeight="1" x14ac:dyDescent="0.4">
      <c r="A36" s="27"/>
      <c r="B36" s="24" t="s">
        <v>47</v>
      </c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5"/>
    </row>
    <row r="37" spans="1:30" s="5" customFormat="1" ht="25.05" hidden="1" customHeight="1" x14ac:dyDescent="0.4">
      <c r="A37" s="28"/>
      <c r="B37" s="24" t="s">
        <v>48</v>
      </c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5"/>
    </row>
    <row r="38" spans="1:30" s="5" customFormat="1" ht="15" hidden="1" customHeight="1" x14ac:dyDescent="0.4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spans="1:30" s="5" customFormat="1" ht="30" hidden="1" customHeight="1" thickBot="1" x14ac:dyDescent="0.45">
      <c r="A39" s="18" t="s">
        <v>68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</row>
    <row r="40" spans="1:30" s="5" customFormat="1" ht="25.05" hidden="1" customHeight="1" thickTop="1" x14ac:dyDescent="0.4">
      <c r="A40" s="19" t="s">
        <v>49</v>
      </c>
      <c r="B40" s="19"/>
      <c r="C40" s="19"/>
      <c r="D40" s="19"/>
      <c r="E40" s="20"/>
      <c r="F40" s="21" t="s">
        <v>53</v>
      </c>
      <c r="G40" s="22"/>
      <c r="H40" s="22"/>
      <c r="I40" s="22"/>
      <c r="J40" s="23"/>
      <c r="K40" s="22" t="s">
        <v>54</v>
      </c>
      <c r="L40" s="22"/>
      <c r="M40" s="22"/>
      <c r="N40" s="22"/>
      <c r="O40" s="23"/>
      <c r="P40" s="22" t="s">
        <v>50</v>
      </c>
      <c r="Q40" s="22"/>
      <c r="R40" s="22"/>
      <c r="S40" s="22"/>
      <c r="T40" s="23"/>
      <c r="U40" s="21" t="s">
        <v>51</v>
      </c>
      <c r="V40" s="22"/>
      <c r="W40" s="22"/>
      <c r="X40" s="22"/>
      <c r="Y40" s="23"/>
      <c r="Z40" s="19" t="s">
        <v>52</v>
      </c>
      <c r="AA40" s="19"/>
      <c r="AB40" s="19"/>
      <c r="AC40" s="19"/>
      <c r="AD40" s="19"/>
    </row>
    <row r="41" spans="1:30" s="5" customFormat="1" ht="25.05" hidden="1" customHeight="1" x14ac:dyDescent="0.4">
      <c r="A41" s="9" t="s">
        <v>59</v>
      </c>
      <c r="B41" s="9"/>
      <c r="C41" s="9"/>
      <c r="D41" s="9"/>
      <c r="E41" s="10"/>
      <c r="F41" s="12">
        <v>463265</v>
      </c>
      <c r="G41" s="12"/>
      <c r="H41" s="12"/>
      <c r="I41" s="12"/>
      <c r="J41" s="13"/>
      <c r="K41" s="11">
        <v>9543259</v>
      </c>
      <c r="L41" s="12"/>
      <c r="M41" s="12"/>
      <c r="N41" s="12"/>
      <c r="O41" s="13"/>
      <c r="P41" s="11">
        <f>SUM(K41*1.1)</f>
        <v>10497584.9</v>
      </c>
      <c r="Q41" s="12"/>
      <c r="R41" s="12"/>
      <c r="S41" s="12"/>
      <c r="T41" s="13"/>
      <c r="U41" s="11" cm="1">
        <f t="array" ref="U41">SUM(K41:T41*0.2)</f>
        <v>4008168.7800000003</v>
      </c>
      <c r="V41" s="12"/>
      <c r="W41" s="12"/>
      <c r="X41" s="12"/>
      <c r="Y41" s="13"/>
      <c r="Z41" s="12">
        <f>SUM(F41:Y41)</f>
        <v>24512277.68</v>
      </c>
      <c r="AA41" s="12"/>
      <c r="AB41" s="12"/>
      <c r="AC41" s="12"/>
      <c r="AD41" s="12"/>
    </row>
    <row r="42" spans="1:30" s="5" customFormat="1" ht="25.05" hidden="1" customHeight="1" x14ac:dyDescent="0.4">
      <c r="A42" s="16" t="s">
        <v>56</v>
      </c>
      <c r="B42" s="16"/>
      <c r="C42" s="16"/>
      <c r="D42" s="16"/>
      <c r="E42" s="17"/>
      <c r="F42" s="11">
        <v>291414</v>
      </c>
      <c r="G42" s="12"/>
      <c r="H42" s="12"/>
      <c r="I42" s="12"/>
      <c r="J42" s="13"/>
      <c r="K42" s="11">
        <v>6003128</v>
      </c>
      <c r="L42" s="12"/>
      <c r="M42" s="12"/>
      <c r="N42" s="12"/>
      <c r="O42" s="13"/>
      <c r="P42" s="11">
        <f>SUM(K42*1.1)</f>
        <v>6603440.8000000007</v>
      </c>
      <c r="Q42" s="12"/>
      <c r="R42" s="12"/>
      <c r="S42" s="12"/>
      <c r="T42" s="13"/>
      <c r="U42" s="11" cm="1">
        <f t="array" ref="U42">SUM(K42:T42*0.2)</f>
        <v>2521313.7600000002</v>
      </c>
      <c r="V42" s="12"/>
      <c r="W42" s="12"/>
      <c r="X42" s="12"/>
      <c r="Y42" s="12"/>
      <c r="Z42" s="11">
        <f t="shared" ref="Z42:Z44" si="0">SUM(F42:Y42)</f>
        <v>15419296.560000001</v>
      </c>
      <c r="AA42" s="12"/>
      <c r="AB42" s="12"/>
      <c r="AC42" s="12"/>
      <c r="AD42" s="12"/>
    </row>
    <row r="43" spans="1:30" s="5" customFormat="1" ht="25.05" hidden="1" customHeight="1" x14ac:dyDescent="0.4">
      <c r="A43" s="14" t="s">
        <v>57</v>
      </c>
      <c r="B43" s="14"/>
      <c r="C43" s="14"/>
      <c r="D43" s="14"/>
      <c r="E43" s="15"/>
      <c r="F43" s="11">
        <v>291414</v>
      </c>
      <c r="G43" s="12"/>
      <c r="H43" s="12"/>
      <c r="I43" s="12"/>
      <c r="J43" s="13"/>
      <c r="K43" s="11">
        <v>6003128</v>
      </c>
      <c r="L43" s="12"/>
      <c r="M43" s="12"/>
      <c r="N43" s="12"/>
      <c r="O43" s="13"/>
      <c r="P43" s="11">
        <f>SUM(K43*1.1)</f>
        <v>6603440.8000000007</v>
      </c>
      <c r="Q43" s="12"/>
      <c r="R43" s="12"/>
      <c r="S43" s="12"/>
      <c r="T43" s="13"/>
      <c r="U43" s="11" cm="1">
        <f t="array" ref="U43">SUM(K43:T43*0.2)</f>
        <v>2521313.7600000002</v>
      </c>
      <c r="V43" s="12"/>
      <c r="W43" s="12"/>
      <c r="X43" s="12"/>
      <c r="Y43" s="12"/>
      <c r="Z43" s="11">
        <f t="shared" si="0"/>
        <v>15419296.560000001</v>
      </c>
      <c r="AA43" s="12"/>
      <c r="AB43" s="12"/>
      <c r="AC43" s="12"/>
      <c r="AD43" s="12"/>
    </row>
    <row r="44" spans="1:30" s="5" customFormat="1" ht="25.05" hidden="1" customHeight="1" x14ac:dyDescent="0.4">
      <c r="A44" s="9" t="s">
        <v>55</v>
      </c>
      <c r="B44" s="9"/>
      <c r="C44" s="9"/>
      <c r="D44" s="9"/>
      <c r="E44" s="10"/>
      <c r="F44" s="11">
        <v>217843</v>
      </c>
      <c r="G44" s="12"/>
      <c r="H44" s="12"/>
      <c r="I44" s="12"/>
      <c r="J44" s="13"/>
      <c r="K44" s="11">
        <v>4487566</v>
      </c>
      <c r="L44" s="12"/>
      <c r="M44" s="12"/>
      <c r="N44" s="12"/>
      <c r="O44" s="13"/>
      <c r="P44" s="11">
        <f>SUM(K44*1.1)</f>
        <v>4936322.6000000006</v>
      </c>
      <c r="Q44" s="12"/>
      <c r="R44" s="12"/>
      <c r="S44" s="12"/>
      <c r="T44" s="13"/>
      <c r="U44" s="11" cm="1">
        <f t="array" ref="U44">SUM(K44:T44*0.2)</f>
        <v>1884777.7200000002</v>
      </c>
      <c r="V44" s="12"/>
      <c r="W44" s="12"/>
      <c r="X44" s="12"/>
      <c r="Y44" s="12"/>
      <c r="Z44" s="11">
        <f t="shared" si="0"/>
        <v>11526509.320000002</v>
      </c>
      <c r="AA44" s="12"/>
      <c r="AB44" s="12"/>
      <c r="AC44" s="12"/>
      <c r="AD44" s="12"/>
    </row>
    <row r="45" spans="1:30" ht="15" customHeight="1" thickBot="1" x14ac:dyDescent="0.45">
      <c r="AA45" s="6"/>
    </row>
    <row r="46" spans="1:30" ht="2.5499999999999998" customHeight="1" x14ac:dyDescent="0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100.05" customHeight="1" x14ac:dyDescent="0.4">
      <c r="A47" s="7" t="s">
        <v>29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spans="1:30" ht="19.95" customHeight="1" x14ac:dyDescent="0.4"/>
    <row r="49" ht="19.95" customHeight="1" x14ac:dyDescent="0.4"/>
    <row r="50" ht="19.95" customHeight="1" x14ac:dyDescent="0.4"/>
    <row r="51" ht="19.95" customHeight="1" x14ac:dyDescent="0.4"/>
    <row r="52" ht="19.95" customHeight="1" x14ac:dyDescent="0.4"/>
    <row r="53" ht="19.95" customHeight="1" x14ac:dyDescent="0.4"/>
    <row r="54" ht="19.95" customHeight="1" x14ac:dyDescent="0.4"/>
  </sheetData>
  <dataConsolidate/>
  <mergeCells count="135">
    <mergeCell ref="S4:AD4"/>
    <mergeCell ref="B5:C5"/>
    <mergeCell ref="D5:O5"/>
    <mergeCell ref="Q5:R5"/>
    <mergeCell ref="S5:Y5"/>
    <mergeCell ref="Z5:AA5"/>
    <mergeCell ref="AB5:AD5"/>
    <mergeCell ref="A1:AD1"/>
    <mergeCell ref="A2:AD2"/>
    <mergeCell ref="A3:U3"/>
    <mergeCell ref="Z3:AA3"/>
    <mergeCell ref="AB3:AD3"/>
    <mergeCell ref="A4:A8"/>
    <mergeCell ref="B4:C4"/>
    <mergeCell ref="D4:O4"/>
    <mergeCell ref="P4:P8"/>
    <mergeCell ref="Q4:R4"/>
    <mergeCell ref="B8:C8"/>
    <mergeCell ref="D8:O8"/>
    <mergeCell ref="Q8:R8"/>
    <mergeCell ref="S8:AD8"/>
    <mergeCell ref="A9:AD9"/>
    <mergeCell ref="A10:F10"/>
    <mergeCell ref="G10:AD10"/>
    <mergeCell ref="B6:C6"/>
    <mergeCell ref="D6:O6"/>
    <mergeCell ref="Q6:R6"/>
    <mergeCell ref="S6:AD6"/>
    <mergeCell ref="B7:C7"/>
    <mergeCell ref="D7:O7"/>
    <mergeCell ref="Q7:R7"/>
    <mergeCell ref="S7:AD7"/>
    <mergeCell ref="A11:AD11"/>
    <mergeCell ref="A12:B12"/>
    <mergeCell ref="C12:D12"/>
    <mergeCell ref="E12:H12"/>
    <mergeCell ref="I12:S12"/>
    <mergeCell ref="T12:U12"/>
    <mergeCell ref="V12:W12"/>
    <mergeCell ref="X12:Z12"/>
    <mergeCell ref="AA12:AD12"/>
    <mergeCell ref="X13:Z13"/>
    <mergeCell ref="AA13:AD13"/>
    <mergeCell ref="E14:H14"/>
    <mergeCell ref="I14:S14"/>
    <mergeCell ref="T14:U14"/>
    <mergeCell ref="V14:W14"/>
    <mergeCell ref="X14:Z14"/>
    <mergeCell ref="AA14:AD14"/>
    <mergeCell ref="A13:B17"/>
    <mergeCell ref="C13:D17"/>
    <mergeCell ref="E13:H13"/>
    <mergeCell ref="I13:S13"/>
    <mergeCell ref="T13:U13"/>
    <mergeCell ref="V13:W13"/>
    <mergeCell ref="E15:H15"/>
    <mergeCell ref="I15:S15"/>
    <mergeCell ref="T15:U15"/>
    <mergeCell ref="V15:W15"/>
    <mergeCell ref="E17:H17"/>
    <mergeCell ref="I17:S17"/>
    <mergeCell ref="T17:U17"/>
    <mergeCell ref="V17:W17"/>
    <mergeCell ref="X17:Z17"/>
    <mergeCell ref="AA17:AD17"/>
    <mergeCell ref="X15:Z15"/>
    <mergeCell ref="AA15:AD15"/>
    <mergeCell ref="E16:H16"/>
    <mergeCell ref="I16:S16"/>
    <mergeCell ref="T16:U16"/>
    <mergeCell ref="V16:W16"/>
    <mergeCell ref="X16:Z16"/>
    <mergeCell ref="AA16:AD16"/>
    <mergeCell ref="A18:D18"/>
    <mergeCell ref="E18:O18"/>
    <mergeCell ref="P18:S18"/>
    <mergeCell ref="T18:AD18"/>
    <mergeCell ref="A19:D19"/>
    <mergeCell ref="E19:J19"/>
    <mergeCell ref="K19:N19"/>
    <mergeCell ref="O19:T19"/>
    <mergeCell ref="U19:X19"/>
    <mergeCell ref="Y19:AD19"/>
    <mergeCell ref="A20:AD20"/>
    <mergeCell ref="A21:A30"/>
    <mergeCell ref="B21:AD21"/>
    <mergeCell ref="B22:AD22"/>
    <mergeCell ref="B23:AD23"/>
    <mergeCell ref="B24:AD24"/>
    <mergeCell ref="B25:AD25"/>
    <mergeCell ref="B26:AD26"/>
    <mergeCell ref="B27:AD27"/>
    <mergeCell ref="B28:AD28"/>
    <mergeCell ref="A39:AD39"/>
    <mergeCell ref="A40:E40"/>
    <mergeCell ref="F40:J40"/>
    <mergeCell ref="K40:O40"/>
    <mergeCell ref="P40:T40"/>
    <mergeCell ref="U40:Y40"/>
    <mergeCell ref="Z40:AD40"/>
    <mergeCell ref="B29:AD29"/>
    <mergeCell ref="B30:AD30"/>
    <mergeCell ref="A31:AD31"/>
    <mergeCell ref="A32:A37"/>
    <mergeCell ref="B32:AD32"/>
    <mergeCell ref="B33:AD33"/>
    <mergeCell ref="B34:AD34"/>
    <mergeCell ref="B35:AD35"/>
    <mergeCell ref="B36:AD36"/>
    <mergeCell ref="B37:AD37"/>
    <mergeCell ref="A42:E42"/>
    <mergeCell ref="F42:J42"/>
    <mergeCell ref="K42:O42"/>
    <mergeCell ref="P42:T42"/>
    <mergeCell ref="U42:Y42"/>
    <mergeCell ref="Z42:AD42"/>
    <mergeCell ref="A41:E41"/>
    <mergeCell ref="F41:J41"/>
    <mergeCell ref="K41:O41"/>
    <mergeCell ref="P41:T41"/>
    <mergeCell ref="U41:Y41"/>
    <mergeCell ref="Z41:AD41"/>
    <mergeCell ref="A47:AD47"/>
    <mergeCell ref="A44:E44"/>
    <mergeCell ref="F44:J44"/>
    <mergeCell ref="K44:O44"/>
    <mergeCell ref="P44:T44"/>
    <mergeCell ref="U44:Y44"/>
    <mergeCell ref="Z44:AD44"/>
    <mergeCell ref="A43:E43"/>
    <mergeCell ref="F43:J43"/>
    <mergeCell ref="K43:O43"/>
    <mergeCell ref="P43:T43"/>
    <mergeCell ref="U43:Y43"/>
    <mergeCell ref="Z43:AD43"/>
  </mergeCells>
  <phoneticPr fontId="1" type="noConversion"/>
  <hyperlinks>
    <hyperlink ref="S8" r:id="rId1" xr:uid="{73546681-E94D-5E41-9C6D-D5D190DD6D09}"/>
    <hyperlink ref="D8" r:id="rId2" xr:uid="{F1CDEB31-A5DD-EC47-9759-9825183A5400}"/>
  </hyperlinks>
  <pageMargins left="0.7" right="0.7" top="0.75" bottom="0.75" header="0.3" footer="0.3"/>
  <pageSetup paperSize="9" scale="47" orientation="portrait" r:id="rId3"/>
  <headerFooter>
    <oddHeader>&amp;C
&amp;G</oddHeader>
  </headerFooter>
  <drawing r:id="rId4"/>
  <legacyDrawingHF r:id="rId5"/>
  <picture r:id="rId6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C7F4139-1DE4-854D-AE75-3CD0155F72A9}">
          <x14:formula1>
            <xm:f>데이터!$A$2:$A$6</xm:f>
          </x14:formula1>
          <xm:sqref>E19</xm:sqref>
        </x14:dataValidation>
        <x14:dataValidation type="list" allowBlank="1" showInputMessage="1" showErrorMessage="1" xr:uid="{D59A3DBB-B36C-F948-B2C0-72ADF4AF60F7}">
          <x14:formula1>
            <xm:f>데이터!$C$2:$C$4</xm:f>
          </x14:formula1>
          <xm:sqref>B30:AD30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372BA-A187-FE49-8270-2926B556A991}">
  <sheetPr>
    <pageSetUpPr fitToPage="1"/>
  </sheetPr>
  <dimension ref="A1:AD54"/>
  <sheetViews>
    <sheetView showGridLines="0" view="pageBreakPreview" topLeftCell="A13" zoomScale="75" zoomScaleNormal="100" zoomScaleSheetLayoutView="115" workbookViewId="0">
      <selection activeCell="E51" sqref="E51"/>
    </sheetView>
  </sheetViews>
  <sheetFormatPr defaultColWidth="8.796875" defaultRowHeight="17.399999999999999" x14ac:dyDescent="0.4"/>
  <cols>
    <col min="1" max="30" width="5.69921875" customWidth="1"/>
  </cols>
  <sheetData>
    <row r="1" spans="1:30" ht="100.05" customHeight="1" x14ac:dyDescent="0.6">
      <c r="A1" s="80" t="s">
        <v>30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</row>
    <row r="2" spans="1:30" ht="19.95" customHeight="1" x14ac:dyDescent="0.6">
      <c r="A2" s="80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</row>
    <row r="3" spans="1:30" ht="19.95" customHeight="1" thickBot="1" x14ac:dyDescent="0.45">
      <c r="A3" s="63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74"/>
      <c r="T3" s="74"/>
      <c r="U3" s="74"/>
      <c r="V3" s="3"/>
      <c r="W3" s="3"/>
      <c r="X3" s="3"/>
      <c r="Y3" s="1"/>
      <c r="Z3" s="81" t="s">
        <v>16</v>
      </c>
      <c r="AA3" s="81"/>
      <c r="AB3" s="82" t="s">
        <v>124</v>
      </c>
      <c r="AC3" s="82"/>
      <c r="AD3" s="82"/>
    </row>
    <row r="4" spans="1:30" ht="34.950000000000003" customHeight="1" thickTop="1" x14ac:dyDescent="0.4">
      <c r="A4" s="83" t="s">
        <v>14</v>
      </c>
      <c r="B4" s="85" t="s">
        <v>28</v>
      </c>
      <c r="C4" s="85"/>
      <c r="D4" s="86">
        <v>45397</v>
      </c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7" t="s">
        <v>15</v>
      </c>
      <c r="Q4" s="85" t="s">
        <v>17</v>
      </c>
      <c r="R4" s="85"/>
      <c r="S4" s="78" t="s">
        <v>27</v>
      </c>
      <c r="T4" s="78"/>
      <c r="U4" s="78"/>
      <c r="V4" s="78"/>
      <c r="W4" s="78"/>
      <c r="X4" s="78"/>
      <c r="Y4" s="78"/>
      <c r="Z4" s="78"/>
      <c r="AA4" s="78"/>
      <c r="AB4" s="78"/>
      <c r="AC4" s="78"/>
      <c r="AD4" s="79"/>
    </row>
    <row r="5" spans="1:30" ht="34.950000000000003" customHeight="1" x14ac:dyDescent="0.4">
      <c r="A5" s="84"/>
      <c r="B5" s="77" t="s">
        <v>40</v>
      </c>
      <c r="C5" s="77"/>
      <c r="D5" s="77" t="s">
        <v>125</v>
      </c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88"/>
      <c r="Q5" s="77" t="s">
        <v>40</v>
      </c>
      <c r="R5" s="77"/>
      <c r="S5" s="33" t="s">
        <v>21</v>
      </c>
      <c r="T5" s="34"/>
      <c r="U5" s="34"/>
      <c r="V5" s="34"/>
      <c r="W5" s="34"/>
      <c r="X5" s="34"/>
      <c r="Y5" s="44"/>
      <c r="Z5" s="33" t="s">
        <v>22</v>
      </c>
      <c r="AA5" s="44"/>
      <c r="AB5" s="33" t="s">
        <v>23</v>
      </c>
      <c r="AC5" s="34"/>
      <c r="AD5" s="34"/>
    </row>
    <row r="6" spans="1:30" ht="34.950000000000003" customHeight="1" x14ac:dyDescent="0.4">
      <c r="A6" s="84"/>
      <c r="B6" s="77" t="s">
        <v>18</v>
      </c>
      <c r="C6" s="77"/>
      <c r="D6" s="77" t="s">
        <v>126</v>
      </c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88"/>
      <c r="Q6" s="77" t="s">
        <v>18</v>
      </c>
      <c r="R6" s="77"/>
      <c r="S6" s="77" t="s">
        <v>121</v>
      </c>
      <c r="T6" s="77"/>
      <c r="U6" s="77"/>
      <c r="V6" s="77"/>
      <c r="W6" s="77"/>
      <c r="X6" s="77"/>
      <c r="Y6" s="77"/>
      <c r="Z6" s="77"/>
      <c r="AA6" s="77"/>
      <c r="AB6" s="77"/>
      <c r="AC6" s="77"/>
      <c r="AD6" s="33"/>
    </row>
    <row r="7" spans="1:30" ht="34.950000000000003" customHeight="1" x14ac:dyDescent="0.4">
      <c r="A7" s="84"/>
      <c r="B7" s="77" t="s">
        <v>19</v>
      </c>
      <c r="C7" s="77"/>
      <c r="D7" s="77" t="s">
        <v>76</v>
      </c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88"/>
      <c r="Q7" s="77" t="s">
        <v>19</v>
      </c>
      <c r="R7" s="77"/>
      <c r="S7" s="77" t="s">
        <v>122</v>
      </c>
      <c r="T7" s="77"/>
      <c r="U7" s="77"/>
      <c r="V7" s="77"/>
      <c r="W7" s="77"/>
      <c r="X7" s="77"/>
      <c r="Y7" s="77"/>
      <c r="Z7" s="77"/>
      <c r="AA7" s="77"/>
      <c r="AB7" s="77"/>
      <c r="AC7" s="77"/>
      <c r="AD7" s="33"/>
    </row>
    <row r="8" spans="1:30" ht="34.950000000000003" customHeight="1" x14ac:dyDescent="0.4">
      <c r="A8" s="84"/>
      <c r="B8" s="77" t="s">
        <v>20</v>
      </c>
      <c r="C8" s="77"/>
      <c r="D8" s="89" t="s">
        <v>127</v>
      </c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88"/>
      <c r="Q8" s="77" t="s">
        <v>20</v>
      </c>
      <c r="R8" s="77"/>
      <c r="S8" s="89" t="s">
        <v>123</v>
      </c>
      <c r="T8" s="77"/>
      <c r="U8" s="77"/>
      <c r="V8" s="77"/>
      <c r="W8" s="77"/>
      <c r="X8" s="77"/>
      <c r="Y8" s="77"/>
      <c r="Z8" s="77"/>
      <c r="AA8" s="77"/>
      <c r="AB8" s="77"/>
      <c r="AC8" s="77"/>
      <c r="AD8" s="33"/>
    </row>
    <row r="9" spans="1:30" ht="49.95" customHeight="1" thickBot="1" x14ac:dyDescent="0.45">
      <c r="A9" s="74" t="s">
        <v>12</v>
      </c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</row>
    <row r="10" spans="1:30" ht="34.950000000000003" customHeight="1" thickTop="1" x14ac:dyDescent="0.4">
      <c r="A10" s="64" t="s">
        <v>13</v>
      </c>
      <c r="B10" s="64"/>
      <c r="C10" s="64"/>
      <c r="D10" s="64"/>
      <c r="E10" s="64"/>
      <c r="F10" s="65"/>
      <c r="G10" s="75">
        <f>SUM(E18,T18)</f>
        <v>5500000</v>
      </c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</row>
    <row r="11" spans="1:30" ht="15" customHeight="1" thickBot="1" x14ac:dyDescent="0.45">
      <c r="A11" s="63"/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</row>
    <row r="12" spans="1:30" ht="34.950000000000003" customHeight="1" thickTop="1" x14ac:dyDescent="0.4">
      <c r="A12" s="64" t="s">
        <v>0</v>
      </c>
      <c r="B12" s="65"/>
      <c r="C12" s="66" t="s">
        <v>1</v>
      </c>
      <c r="D12" s="67"/>
      <c r="E12" s="68" t="s">
        <v>2</v>
      </c>
      <c r="F12" s="64"/>
      <c r="G12" s="64"/>
      <c r="H12" s="65"/>
      <c r="I12" s="68" t="s">
        <v>3</v>
      </c>
      <c r="J12" s="64"/>
      <c r="K12" s="64"/>
      <c r="L12" s="64"/>
      <c r="M12" s="64"/>
      <c r="N12" s="64"/>
      <c r="O12" s="64"/>
      <c r="P12" s="64"/>
      <c r="Q12" s="64"/>
      <c r="R12" s="64"/>
      <c r="S12" s="65"/>
      <c r="T12" s="69" t="s">
        <v>4</v>
      </c>
      <c r="U12" s="70"/>
      <c r="V12" s="71" t="s">
        <v>5</v>
      </c>
      <c r="W12" s="67"/>
      <c r="X12" s="64" t="s">
        <v>41</v>
      </c>
      <c r="Y12" s="64"/>
      <c r="Z12" s="65"/>
      <c r="AA12" s="72" t="s">
        <v>6</v>
      </c>
      <c r="AB12" s="73"/>
      <c r="AC12" s="73"/>
      <c r="AD12" s="73"/>
    </row>
    <row r="13" spans="1:30" ht="150" customHeight="1" x14ac:dyDescent="0.4">
      <c r="A13" s="57" t="s">
        <v>78</v>
      </c>
      <c r="B13" s="58"/>
      <c r="C13" s="57" t="s">
        <v>95</v>
      </c>
      <c r="D13" s="58"/>
      <c r="E13" s="33" t="s">
        <v>77</v>
      </c>
      <c r="F13" s="34"/>
      <c r="G13" s="34"/>
      <c r="H13" s="44"/>
      <c r="I13" s="45" t="s">
        <v>79</v>
      </c>
      <c r="J13" s="46"/>
      <c r="K13" s="46"/>
      <c r="L13" s="46"/>
      <c r="M13" s="46"/>
      <c r="N13" s="46"/>
      <c r="O13" s="46"/>
      <c r="P13" s="46"/>
      <c r="Q13" s="46"/>
      <c r="R13" s="46"/>
      <c r="S13" s="47"/>
      <c r="T13" s="48">
        <v>1</v>
      </c>
      <c r="U13" s="49"/>
      <c r="V13" s="50">
        <v>1</v>
      </c>
      <c r="W13" s="51"/>
      <c r="X13" s="41">
        <v>150000</v>
      </c>
      <c r="Y13" s="41"/>
      <c r="Z13" s="42"/>
      <c r="AA13" s="43">
        <f>SUM(T13*V13*X13)</f>
        <v>150000</v>
      </c>
      <c r="AB13" s="41"/>
      <c r="AC13" s="41"/>
      <c r="AD13" s="41"/>
    </row>
    <row r="14" spans="1:30" ht="150" customHeight="1" x14ac:dyDescent="0.4">
      <c r="A14" s="59"/>
      <c r="B14" s="60"/>
      <c r="C14" s="59"/>
      <c r="D14" s="60"/>
      <c r="E14" s="33" t="s">
        <v>113</v>
      </c>
      <c r="F14" s="34"/>
      <c r="G14" s="34"/>
      <c r="H14" s="44"/>
      <c r="I14" s="45" t="s">
        <v>119</v>
      </c>
      <c r="J14" s="46"/>
      <c r="K14" s="46"/>
      <c r="L14" s="46"/>
      <c r="M14" s="46"/>
      <c r="N14" s="46"/>
      <c r="O14" s="46"/>
      <c r="P14" s="46"/>
      <c r="Q14" s="46"/>
      <c r="R14" s="46"/>
      <c r="S14" s="47"/>
      <c r="T14" s="48">
        <v>1</v>
      </c>
      <c r="U14" s="49"/>
      <c r="V14" s="50">
        <v>5</v>
      </c>
      <c r="W14" s="51"/>
      <c r="X14" s="41">
        <v>150000</v>
      </c>
      <c r="Y14" s="41"/>
      <c r="Z14" s="42"/>
      <c r="AA14" s="43">
        <f>SUM(T14*V14*X14)</f>
        <v>750000</v>
      </c>
      <c r="AB14" s="41"/>
      <c r="AC14" s="41"/>
      <c r="AD14" s="41"/>
    </row>
    <row r="15" spans="1:30" ht="150" customHeight="1" x14ac:dyDescent="0.4">
      <c r="A15" s="59"/>
      <c r="B15" s="60"/>
      <c r="C15" s="59"/>
      <c r="D15" s="60"/>
      <c r="E15" s="33" t="s">
        <v>115</v>
      </c>
      <c r="F15" s="34"/>
      <c r="G15" s="34"/>
      <c r="H15" s="44"/>
      <c r="I15" s="45" t="s">
        <v>118</v>
      </c>
      <c r="J15" s="46"/>
      <c r="K15" s="46"/>
      <c r="L15" s="46"/>
      <c r="M15" s="46"/>
      <c r="N15" s="46"/>
      <c r="O15" s="46"/>
      <c r="P15" s="46"/>
      <c r="Q15" s="46"/>
      <c r="R15" s="46"/>
      <c r="S15" s="47"/>
      <c r="T15" s="48">
        <v>1</v>
      </c>
      <c r="U15" s="49"/>
      <c r="V15" s="50">
        <v>5</v>
      </c>
      <c r="W15" s="51"/>
      <c r="X15" s="41">
        <v>300000</v>
      </c>
      <c r="Y15" s="41"/>
      <c r="Z15" s="42"/>
      <c r="AA15" s="43">
        <f>SUM(T15*V15*X15)</f>
        <v>1500000</v>
      </c>
      <c r="AB15" s="41"/>
      <c r="AC15" s="41"/>
      <c r="AD15" s="41"/>
    </row>
    <row r="16" spans="1:30" ht="150" customHeight="1" x14ac:dyDescent="0.4">
      <c r="A16" s="59"/>
      <c r="B16" s="60"/>
      <c r="C16" s="59"/>
      <c r="D16" s="60"/>
      <c r="E16" s="33" t="s">
        <v>117</v>
      </c>
      <c r="F16" s="34"/>
      <c r="G16" s="34"/>
      <c r="H16" s="44"/>
      <c r="I16" s="45" t="s">
        <v>116</v>
      </c>
      <c r="J16" s="46"/>
      <c r="K16" s="46"/>
      <c r="L16" s="46"/>
      <c r="M16" s="46"/>
      <c r="N16" s="46"/>
      <c r="O16" s="46"/>
      <c r="P16" s="46"/>
      <c r="Q16" s="46"/>
      <c r="R16" s="46"/>
      <c r="S16" s="47"/>
      <c r="T16" s="48">
        <v>10</v>
      </c>
      <c r="U16" s="49"/>
      <c r="V16" s="50">
        <v>1</v>
      </c>
      <c r="W16" s="51"/>
      <c r="X16" s="41">
        <v>210000</v>
      </c>
      <c r="Y16" s="41"/>
      <c r="Z16" s="42"/>
      <c r="AA16" s="43">
        <f>SUM(T16*V16*X16)</f>
        <v>2100000</v>
      </c>
      <c r="AB16" s="41"/>
      <c r="AC16" s="41"/>
      <c r="AD16" s="41"/>
    </row>
    <row r="17" spans="1:30" ht="150" customHeight="1" x14ac:dyDescent="0.4">
      <c r="A17" s="61"/>
      <c r="B17" s="62"/>
      <c r="C17" s="61"/>
      <c r="D17" s="62"/>
      <c r="E17" s="33" t="s">
        <v>92</v>
      </c>
      <c r="F17" s="34"/>
      <c r="G17" s="34"/>
      <c r="H17" s="44"/>
      <c r="I17" s="45" t="s">
        <v>120</v>
      </c>
      <c r="J17" s="46"/>
      <c r="K17" s="46"/>
      <c r="L17" s="46"/>
      <c r="M17" s="46"/>
      <c r="N17" s="46"/>
      <c r="O17" s="46"/>
      <c r="P17" s="46"/>
      <c r="Q17" s="46"/>
      <c r="R17" s="46"/>
      <c r="S17" s="47"/>
      <c r="T17" s="48">
        <v>1</v>
      </c>
      <c r="U17" s="49"/>
      <c r="V17" s="50">
        <v>1</v>
      </c>
      <c r="W17" s="51"/>
      <c r="X17" s="41">
        <v>500000</v>
      </c>
      <c r="Y17" s="41"/>
      <c r="Z17" s="42"/>
      <c r="AA17" s="43">
        <f>SUM(T17*V17*X17)</f>
        <v>500000</v>
      </c>
      <c r="AB17" s="41"/>
      <c r="AC17" s="41"/>
      <c r="AD17" s="41"/>
    </row>
    <row r="18" spans="1:30" ht="34.950000000000003" customHeight="1" x14ac:dyDescent="0.4">
      <c r="A18" s="52" t="s">
        <v>8</v>
      </c>
      <c r="B18" s="52"/>
      <c r="C18" s="52"/>
      <c r="D18" s="52"/>
      <c r="E18" s="53">
        <f>SUM(T18*0.1)</f>
        <v>500000</v>
      </c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4" t="s">
        <v>7</v>
      </c>
      <c r="Q18" s="54"/>
      <c r="R18" s="54"/>
      <c r="S18" s="54"/>
      <c r="T18" s="55">
        <f>SUM(AA13:AD17)</f>
        <v>5000000</v>
      </c>
      <c r="U18" s="56"/>
      <c r="V18" s="56"/>
      <c r="W18" s="56"/>
      <c r="X18" s="56"/>
      <c r="Y18" s="56"/>
      <c r="Z18" s="56"/>
      <c r="AA18" s="56"/>
      <c r="AB18" s="56"/>
      <c r="AC18" s="56"/>
      <c r="AD18" s="56"/>
    </row>
    <row r="19" spans="1:30" ht="34.950000000000003" customHeight="1" x14ac:dyDescent="0.4">
      <c r="A19" s="31" t="s">
        <v>9</v>
      </c>
      <c r="B19" s="31"/>
      <c r="C19" s="31"/>
      <c r="D19" s="32"/>
      <c r="E19" s="33" t="s">
        <v>35</v>
      </c>
      <c r="F19" s="34"/>
      <c r="G19" s="34"/>
      <c r="H19" s="34"/>
      <c r="I19" s="34"/>
      <c r="J19" s="34"/>
      <c r="K19" s="35" t="s">
        <v>10</v>
      </c>
      <c r="L19" s="31"/>
      <c r="M19" s="31"/>
      <c r="N19" s="32"/>
      <c r="O19" s="36" t="str">
        <f>IF(E19="국민은행 [A]", "830501-04-224154", IF(E19="국민은행 [B]", "97112978846", IF(E19="우리은행", "1005-104-299487", IF(E19="기업은행", "052-111285-04-020", IF(E19="신한은행", "140-013-733156", "X")))))</f>
        <v>97112978846</v>
      </c>
      <c r="P19" s="36"/>
      <c r="Q19" s="36"/>
      <c r="R19" s="36"/>
      <c r="S19" s="36"/>
      <c r="T19" s="36"/>
      <c r="U19" s="35" t="s">
        <v>11</v>
      </c>
      <c r="V19" s="31"/>
      <c r="W19" s="31"/>
      <c r="X19" s="32"/>
      <c r="Y19" s="33" t="s">
        <v>21</v>
      </c>
      <c r="Z19" s="34"/>
      <c r="AA19" s="34"/>
      <c r="AB19" s="34"/>
      <c r="AC19" s="34"/>
      <c r="AD19" s="34"/>
    </row>
    <row r="20" spans="1:30" ht="15" customHeight="1" thickBot="1" x14ac:dyDescent="0.45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</row>
    <row r="21" spans="1:30" ht="25.05" customHeight="1" thickTop="1" x14ac:dyDescent="0.4">
      <c r="A21" s="28" t="s">
        <v>43</v>
      </c>
      <c r="B21" s="38" t="s">
        <v>37</v>
      </c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9"/>
    </row>
    <row r="22" spans="1:30" ht="25.05" customHeight="1" x14ac:dyDescent="0.4">
      <c r="A22" s="32"/>
      <c r="B22" s="24" t="s">
        <v>38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5"/>
    </row>
    <row r="23" spans="1:30" ht="25.05" customHeight="1" x14ac:dyDescent="0.4">
      <c r="A23" s="32"/>
      <c r="B23" s="24" t="s">
        <v>39</v>
      </c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5"/>
    </row>
    <row r="24" spans="1:30" ht="25.05" hidden="1" customHeight="1" x14ac:dyDescent="0.4">
      <c r="A24" s="32"/>
      <c r="B24" s="24" t="s">
        <v>69</v>
      </c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5"/>
    </row>
    <row r="25" spans="1:30" ht="25.05" hidden="1" customHeight="1" x14ac:dyDescent="0.4">
      <c r="A25" s="32"/>
      <c r="B25" s="24" t="s">
        <v>61</v>
      </c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5"/>
    </row>
    <row r="26" spans="1:30" ht="25.05" hidden="1" customHeight="1" x14ac:dyDescent="0.4">
      <c r="A26" s="32"/>
      <c r="B26" s="25" t="s">
        <v>70</v>
      </c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</row>
    <row r="27" spans="1:30" ht="25.05" hidden="1" customHeight="1" x14ac:dyDescent="0.4">
      <c r="A27" s="32"/>
      <c r="B27" s="24" t="s">
        <v>62</v>
      </c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5"/>
    </row>
    <row r="28" spans="1:30" ht="25.05" hidden="1" customHeight="1" x14ac:dyDescent="0.4">
      <c r="A28" s="32"/>
      <c r="B28" s="24" t="s">
        <v>63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5"/>
    </row>
    <row r="29" spans="1:30" ht="25.05" hidden="1" customHeight="1" x14ac:dyDescent="0.4">
      <c r="A29" s="32"/>
      <c r="B29" s="24" t="s">
        <v>64</v>
      </c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5"/>
    </row>
    <row r="30" spans="1:30" ht="25.05" customHeight="1" x14ac:dyDescent="0.4">
      <c r="A30" s="32"/>
      <c r="B30" s="24" t="s">
        <v>65</v>
      </c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5"/>
    </row>
    <row r="31" spans="1:30" s="5" customFormat="1" ht="15" hidden="1" customHeight="1" thickBot="1" x14ac:dyDescent="0.45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</row>
    <row r="32" spans="1:30" s="5" customFormat="1" ht="25.05" hidden="1" customHeight="1" thickTop="1" x14ac:dyDescent="0.4">
      <c r="A32" s="20" t="s">
        <v>42</v>
      </c>
      <c r="B32" s="29" t="s">
        <v>44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30"/>
    </row>
    <row r="33" spans="1:30" s="5" customFormat="1" ht="25.05" hidden="1" customHeight="1" x14ac:dyDescent="0.4">
      <c r="A33" s="27"/>
      <c r="B33" s="24" t="s">
        <v>58</v>
      </c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5"/>
    </row>
    <row r="34" spans="1:30" s="5" customFormat="1" ht="25.05" hidden="1" customHeight="1" x14ac:dyDescent="0.4">
      <c r="A34" s="27"/>
      <c r="B34" s="24" t="s">
        <v>45</v>
      </c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5"/>
    </row>
    <row r="35" spans="1:30" s="5" customFormat="1" ht="25.05" hidden="1" customHeight="1" x14ac:dyDescent="0.4">
      <c r="A35" s="27"/>
      <c r="B35" s="24" t="s">
        <v>46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5"/>
    </row>
    <row r="36" spans="1:30" s="5" customFormat="1" ht="25.05" hidden="1" customHeight="1" x14ac:dyDescent="0.4">
      <c r="A36" s="27"/>
      <c r="B36" s="24" t="s">
        <v>47</v>
      </c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5"/>
    </row>
    <row r="37" spans="1:30" s="5" customFormat="1" ht="25.05" hidden="1" customHeight="1" x14ac:dyDescent="0.4">
      <c r="A37" s="28"/>
      <c r="B37" s="24" t="s">
        <v>48</v>
      </c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5"/>
    </row>
    <row r="38" spans="1:30" s="5" customFormat="1" ht="15" hidden="1" customHeight="1" x14ac:dyDescent="0.4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spans="1:30" s="5" customFormat="1" ht="30" hidden="1" customHeight="1" thickBot="1" x14ac:dyDescent="0.45">
      <c r="A39" s="18" t="s">
        <v>68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</row>
    <row r="40" spans="1:30" s="5" customFormat="1" ht="25.05" hidden="1" customHeight="1" thickTop="1" x14ac:dyDescent="0.4">
      <c r="A40" s="19" t="s">
        <v>49</v>
      </c>
      <c r="B40" s="19"/>
      <c r="C40" s="19"/>
      <c r="D40" s="19"/>
      <c r="E40" s="20"/>
      <c r="F40" s="21" t="s">
        <v>53</v>
      </c>
      <c r="G40" s="22"/>
      <c r="H40" s="22"/>
      <c r="I40" s="22"/>
      <c r="J40" s="23"/>
      <c r="K40" s="22" t="s">
        <v>54</v>
      </c>
      <c r="L40" s="22"/>
      <c r="M40" s="22"/>
      <c r="N40" s="22"/>
      <c r="O40" s="23"/>
      <c r="P40" s="22" t="s">
        <v>50</v>
      </c>
      <c r="Q40" s="22"/>
      <c r="R40" s="22"/>
      <c r="S40" s="22"/>
      <c r="T40" s="23"/>
      <c r="U40" s="21" t="s">
        <v>51</v>
      </c>
      <c r="V40" s="22"/>
      <c r="W40" s="22"/>
      <c r="X40" s="22"/>
      <c r="Y40" s="23"/>
      <c r="Z40" s="19" t="s">
        <v>52</v>
      </c>
      <c r="AA40" s="19"/>
      <c r="AB40" s="19"/>
      <c r="AC40" s="19"/>
      <c r="AD40" s="19"/>
    </row>
    <row r="41" spans="1:30" s="5" customFormat="1" ht="25.05" hidden="1" customHeight="1" x14ac:dyDescent="0.4">
      <c r="A41" s="9" t="s">
        <v>59</v>
      </c>
      <c r="B41" s="9"/>
      <c r="C41" s="9"/>
      <c r="D41" s="9"/>
      <c r="E41" s="10"/>
      <c r="F41" s="12">
        <v>463265</v>
      </c>
      <c r="G41" s="12"/>
      <c r="H41" s="12"/>
      <c r="I41" s="12"/>
      <c r="J41" s="13"/>
      <c r="K41" s="11">
        <v>9543259</v>
      </c>
      <c r="L41" s="12"/>
      <c r="M41" s="12"/>
      <c r="N41" s="12"/>
      <c r="O41" s="13"/>
      <c r="P41" s="11">
        <f>SUM(K41*1.1)</f>
        <v>10497584.9</v>
      </c>
      <c r="Q41" s="12"/>
      <c r="R41" s="12"/>
      <c r="S41" s="12"/>
      <c r="T41" s="13"/>
      <c r="U41" s="11" cm="1">
        <f t="array" ref="U41">SUM(K41:T41*0.2)</f>
        <v>4008168.7800000003</v>
      </c>
      <c r="V41" s="12"/>
      <c r="W41" s="12"/>
      <c r="X41" s="12"/>
      <c r="Y41" s="13"/>
      <c r="Z41" s="12">
        <f>SUM(F41:Y41)</f>
        <v>24512277.68</v>
      </c>
      <c r="AA41" s="12"/>
      <c r="AB41" s="12"/>
      <c r="AC41" s="12"/>
      <c r="AD41" s="12"/>
    </row>
    <row r="42" spans="1:30" s="5" customFormat="1" ht="25.05" hidden="1" customHeight="1" x14ac:dyDescent="0.4">
      <c r="A42" s="16" t="s">
        <v>56</v>
      </c>
      <c r="B42" s="16"/>
      <c r="C42" s="16"/>
      <c r="D42" s="16"/>
      <c r="E42" s="17"/>
      <c r="F42" s="11">
        <v>291414</v>
      </c>
      <c r="G42" s="12"/>
      <c r="H42" s="12"/>
      <c r="I42" s="12"/>
      <c r="J42" s="13"/>
      <c r="K42" s="11">
        <v>6003128</v>
      </c>
      <c r="L42" s="12"/>
      <c r="M42" s="12"/>
      <c r="N42" s="12"/>
      <c r="O42" s="13"/>
      <c r="P42" s="11">
        <f>SUM(K42*1.1)</f>
        <v>6603440.8000000007</v>
      </c>
      <c r="Q42" s="12"/>
      <c r="R42" s="12"/>
      <c r="S42" s="12"/>
      <c r="T42" s="13"/>
      <c r="U42" s="11" cm="1">
        <f t="array" ref="U42">SUM(K42:T42*0.2)</f>
        <v>2521313.7600000002</v>
      </c>
      <c r="V42" s="12"/>
      <c r="W42" s="12"/>
      <c r="X42" s="12"/>
      <c r="Y42" s="12"/>
      <c r="Z42" s="11">
        <f t="shared" ref="Z42:Z44" si="0">SUM(F42:Y42)</f>
        <v>15419296.560000001</v>
      </c>
      <c r="AA42" s="12"/>
      <c r="AB42" s="12"/>
      <c r="AC42" s="12"/>
      <c r="AD42" s="12"/>
    </row>
    <row r="43" spans="1:30" s="5" customFormat="1" ht="25.05" hidden="1" customHeight="1" x14ac:dyDescent="0.4">
      <c r="A43" s="14" t="s">
        <v>57</v>
      </c>
      <c r="B43" s="14"/>
      <c r="C43" s="14"/>
      <c r="D43" s="14"/>
      <c r="E43" s="15"/>
      <c r="F43" s="11">
        <v>291414</v>
      </c>
      <c r="G43" s="12"/>
      <c r="H43" s="12"/>
      <c r="I43" s="12"/>
      <c r="J43" s="13"/>
      <c r="K43" s="11">
        <v>6003128</v>
      </c>
      <c r="L43" s="12"/>
      <c r="M43" s="12"/>
      <c r="N43" s="12"/>
      <c r="O43" s="13"/>
      <c r="P43" s="11">
        <f>SUM(K43*1.1)</f>
        <v>6603440.8000000007</v>
      </c>
      <c r="Q43" s="12"/>
      <c r="R43" s="12"/>
      <c r="S43" s="12"/>
      <c r="T43" s="13"/>
      <c r="U43" s="11" cm="1">
        <f t="array" ref="U43">SUM(K43:T43*0.2)</f>
        <v>2521313.7600000002</v>
      </c>
      <c r="V43" s="12"/>
      <c r="W43" s="12"/>
      <c r="X43" s="12"/>
      <c r="Y43" s="12"/>
      <c r="Z43" s="11">
        <f t="shared" si="0"/>
        <v>15419296.560000001</v>
      </c>
      <c r="AA43" s="12"/>
      <c r="AB43" s="12"/>
      <c r="AC43" s="12"/>
      <c r="AD43" s="12"/>
    </row>
    <row r="44" spans="1:30" s="5" customFormat="1" ht="25.05" hidden="1" customHeight="1" x14ac:dyDescent="0.4">
      <c r="A44" s="9" t="s">
        <v>55</v>
      </c>
      <c r="B44" s="9"/>
      <c r="C44" s="9"/>
      <c r="D44" s="9"/>
      <c r="E44" s="10"/>
      <c r="F44" s="11">
        <v>217843</v>
      </c>
      <c r="G44" s="12"/>
      <c r="H44" s="12"/>
      <c r="I44" s="12"/>
      <c r="J44" s="13"/>
      <c r="K44" s="11">
        <v>4487566</v>
      </c>
      <c r="L44" s="12"/>
      <c r="M44" s="12"/>
      <c r="N44" s="12"/>
      <c r="O44" s="13"/>
      <c r="P44" s="11">
        <f>SUM(K44*1.1)</f>
        <v>4936322.6000000006</v>
      </c>
      <c r="Q44" s="12"/>
      <c r="R44" s="12"/>
      <c r="S44" s="12"/>
      <c r="T44" s="13"/>
      <c r="U44" s="11" cm="1">
        <f t="array" ref="U44">SUM(K44:T44*0.2)</f>
        <v>1884777.7200000002</v>
      </c>
      <c r="V44" s="12"/>
      <c r="W44" s="12"/>
      <c r="X44" s="12"/>
      <c r="Y44" s="12"/>
      <c r="Z44" s="11">
        <f t="shared" si="0"/>
        <v>11526509.320000002</v>
      </c>
      <c r="AA44" s="12"/>
      <c r="AB44" s="12"/>
      <c r="AC44" s="12"/>
      <c r="AD44" s="12"/>
    </row>
    <row r="45" spans="1:30" ht="15" customHeight="1" thickBot="1" x14ac:dyDescent="0.45">
      <c r="AA45" s="6"/>
    </row>
    <row r="46" spans="1:30" ht="2.5499999999999998" customHeight="1" x14ac:dyDescent="0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100.05" customHeight="1" x14ac:dyDescent="0.4">
      <c r="A47" s="7" t="s">
        <v>29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spans="1:30" ht="19.95" customHeight="1" x14ac:dyDescent="0.4"/>
    <row r="49" ht="19.95" customHeight="1" x14ac:dyDescent="0.4"/>
    <row r="50" ht="19.95" customHeight="1" x14ac:dyDescent="0.4"/>
    <row r="51" ht="19.95" customHeight="1" x14ac:dyDescent="0.4"/>
    <row r="52" ht="19.95" customHeight="1" x14ac:dyDescent="0.4"/>
    <row r="53" ht="19.95" customHeight="1" x14ac:dyDescent="0.4"/>
    <row r="54" ht="19.95" customHeight="1" x14ac:dyDescent="0.4"/>
  </sheetData>
  <dataConsolidate/>
  <mergeCells count="135">
    <mergeCell ref="S4:AD4"/>
    <mergeCell ref="B5:C5"/>
    <mergeCell ref="D5:O5"/>
    <mergeCell ref="Q5:R5"/>
    <mergeCell ref="S5:Y5"/>
    <mergeCell ref="Z5:AA5"/>
    <mergeCell ref="AB5:AD5"/>
    <mergeCell ref="A1:AD1"/>
    <mergeCell ref="A2:AD2"/>
    <mergeCell ref="A3:U3"/>
    <mergeCell ref="Z3:AA3"/>
    <mergeCell ref="AB3:AD3"/>
    <mergeCell ref="A4:A8"/>
    <mergeCell ref="B4:C4"/>
    <mergeCell ref="D4:O4"/>
    <mergeCell ref="P4:P8"/>
    <mergeCell ref="Q4:R4"/>
    <mergeCell ref="B8:C8"/>
    <mergeCell ref="D8:O8"/>
    <mergeCell ref="Q8:R8"/>
    <mergeCell ref="S8:AD8"/>
    <mergeCell ref="A9:AD9"/>
    <mergeCell ref="A10:F10"/>
    <mergeCell ref="G10:AD10"/>
    <mergeCell ref="B6:C6"/>
    <mergeCell ref="D6:O6"/>
    <mergeCell ref="Q6:R6"/>
    <mergeCell ref="S6:AD6"/>
    <mergeCell ref="B7:C7"/>
    <mergeCell ref="D7:O7"/>
    <mergeCell ref="Q7:R7"/>
    <mergeCell ref="S7:AD7"/>
    <mergeCell ref="A11:AD11"/>
    <mergeCell ref="A12:B12"/>
    <mergeCell ref="C12:D12"/>
    <mergeCell ref="E12:H12"/>
    <mergeCell ref="I12:S12"/>
    <mergeCell ref="T12:U12"/>
    <mergeCell ref="V12:W12"/>
    <mergeCell ref="X12:Z12"/>
    <mergeCell ref="AA12:AD12"/>
    <mergeCell ref="X13:Z13"/>
    <mergeCell ref="AA13:AD13"/>
    <mergeCell ref="E14:H14"/>
    <mergeCell ref="I14:S14"/>
    <mergeCell ref="T14:U14"/>
    <mergeCell ref="V14:W14"/>
    <mergeCell ref="X14:Z14"/>
    <mergeCell ref="AA14:AD14"/>
    <mergeCell ref="A13:B17"/>
    <mergeCell ref="C13:D17"/>
    <mergeCell ref="E13:H13"/>
    <mergeCell ref="I13:S13"/>
    <mergeCell ref="T13:U13"/>
    <mergeCell ref="V13:W13"/>
    <mergeCell ref="E15:H15"/>
    <mergeCell ref="I15:S15"/>
    <mergeCell ref="T15:U15"/>
    <mergeCell ref="V15:W15"/>
    <mergeCell ref="E17:H17"/>
    <mergeCell ref="I17:S17"/>
    <mergeCell ref="T17:U17"/>
    <mergeCell ref="V17:W17"/>
    <mergeCell ref="X17:Z17"/>
    <mergeCell ref="AA17:AD17"/>
    <mergeCell ref="X15:Z15"/>
    <mergeCell ref="AA15:AD15"/>
    <mergeCell ref="E16:H16"/>
    <mergeCell ref="I16:S16"/>
    <mergeCell ref="T16:U16"/>
    <mergeCell ref="V16:W16"/>
    <mergeCell ref="X16:Z16"/>
    <mergeCell ref="AA16:AD16"/>
    <mergeCell ref="A18:D18"/>
    <mergeCell ref="E18:O18"/>
    <mergeCell ref="P18:S18"/>
    <mergeCell ref="T18:AD18"/>
    <mergeCell ref="A19:D19"/>
    <mergeCell ref="E19:J19"/>
    <mergeCell ref="K19:N19"/>
    <mergeCell ref="O19:T19"/>
    <mergeCell ref="U19:X19"/>
    <mergeCell ref="Y19:AD19"/>
    <mergeCell ref="A20:AD20"/>
    <mergeCell ref="A21:A30"/>
    <mergeCell ref="B21:AD21"/>
    <mergeCell ref="B22:AD22"/>
    <mergeCell ref="B23:AD23"/>
    <mergeCell ref="B24:AD24"/>
    <mergeCell ref="B25:AD25"/>
    <mergeCell ref="B26:AD26"/>
    <mergeCell ref="B27:AD27"/>
    <mergeCell ref="B28:AD28"/>
    <mergeCell ref="A39:AD39"/>
    <mergeCell ref="A40:E40"/>
    <mergeCell ref="F40:J40"/>
    <mergeCell ref="K40:O40"/>
    <mergeCell ref="P40:T40"/>
    <mergeCell ref="U40:Y40"/>
    <mergeCell ref="Z40:AD40"/>
    <mergeCell ref="B29:AD29"/>
    <mergeCell ref="B30:AD30"/>
    <mergeCell ref="A31:AD31"/>
    <mergeCell ref="A32:A37"/>
    <mergeCell ref="B32:AD32"/>
    <mergeCell ref="B33:AD33"/>
    <mergeCell ref="B34:AD34"/>
    <mergeCell ref="B35:AD35"/>
    <mergeCell ref="B36:AD36"/>
    <mergeCell ref="B37:AD37"/>
    <mergeCell ref="A42:E42"/>
    <mergeCell ref="F42:J42"/>
    <mergeCell ref="K42:O42"/>
    <mergeCell ref="P42:T42"/>
    <mergeCell ref="U42:Y42"/>
    <mergeCell ref="Z42:AD42"/>
    <mergeCell ref="A41:E41"/>
    <mergeCell ref="F41:J41"/>
    <mergeCell ref="K41:O41"/>
    <mergeCell ref="P41:T41"/>
    <mergeCell ref="U41:Y41"/>
    <mergeCell ref="Z41:AD41"/>
    <mergeCell ref="A47:AD47"/>
    <mergeCell ref="A44:E44"/>
    <mergeCell ref="F44:J44"/>
    <mergeCell ref="K44:O44"/>
    <mergeCell ref="P44:T44"/>
    <mergeCell ref="U44:Y44"/>
    <mergeCell ref="Z44:AD44"/>
    <mergeCell ref="A43:E43"/>
    <mergeCell ref="F43:J43"/>
    <mergeCell ref="K43:O43"/>
    <mergeCell ref="P43:T43"/>
    <mergeCell ref="U43:Y43"/>
    <mergeCell ref="Z43:AD43"/>
  </mergeCells>
  <phoneticPr fontId="1" type="noConversion"/>
  <hyperlinks>
    <hyperlink ref="S8" r:id="rId1" xr:uid="{6CD7C4E0-B787-C04E-8B7F-25465DDA877C}"/>
    <hyperlink ref="D8" r:id="rId2" xr:uid="{4E0D8FB8-793A-894B-BB25-949C69F37DB6}"/>
  </hyperlinks>
  <pageMargins left="0.7" right="0.7" top="0.75" bottom="0.75" header="0.3" footer="0.3"/>
  <pageSetup paperSize="9" scale="47" orientation="portrait" r:id="rId3"/>
  <headerFooter>
    <oddHeader>&amp;C
&amp;G</oddHeader>
  </headerFooter>
  <drawing r:id="rId4"/>
  <legacyDrawingHF r:id="rId5"/>
  <picture r:id="rId6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29773F0-B48A-0844-9C50-9546869E93C5}">
          <x14:formula1>
            <xm:f>데이터!$A$2:$A$6</xm:f>
          </x14:formula1>
          <xm:sqref>E19</xm:sqref>
        </x14:dataValidation>
        <x14:dataValidation type="list" allowBlank="1" showInputMessage="1" showErrorMessage="1" xr:uid="{8D862B2D-4EFB-3D4B-966D-85F938995C86}">
          <x14:formula1>
            <xm:f>데이터!$C$2:$C$4</xm:f>
          </x14:formula1>
          <xm:sqref>B30:AD30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19711-9953-432E-82F8-748F174AC2BD}">
  <sheetPr>
    <pageSetUpPr fitToPage="1"/>
  </sheetPr>
  <dimension ref="A1:AD59"/>
  <sheetViews>
    <sheetView showGridLines="0" view="pageBreakPreview" topLeftCell="A3" zoomScale="75" zoomScaleNormal="100" zoomScaleSheetLayoutView="115" workbookViewId="0">
      <selection activeCell="I15" sqref="I15:S15"/>
    </sheetView>
  </sheetViews>
  <sheetFormatPr defaultColWidth="8.796875" defaultRowHeight="17.399999999999999" x14ac:dyDescent="0.4"/>
  <cols>
    <col min="1" max="30" width="5.69921875" customWidth="1"/>
  </cols>
  <sheetData>
    <row r="1" spans="1:30" ht="100.05" customHeight="1" x14ac:dyDescent="0.6">
      <c r="A1" s="80" t="s">
        <v>30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</row>
    <row r="2" spans="1:30" ht="19.95" customHeight="1" x14ac:dyDescent="0.6">
      <c r="A2" s="80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</row>
    <row r="3" spans="1:30" ht="19.95" customHeight="1" thickBot="1" x14ac:dyDescent="0.45">
      <c r="A3" s="63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74"/>
      <c r="T3" s="74"/>
      <c r="U3" s="74"/>
      <c r="V3" s="3"/>
      <c r="W3" s="3"/>
      <c r="X3" s="3"/>
      <c r="Y3" s="1"/>
      <c r="Z3" s="81" t="s">
        <v>16</v>
      </c>
      <c r="AA3" s="81"/>
      <c r="AB3" s="82" t="s">
        <v>72</v>
      </c>
      <c r="AC3" s="82"/>
      <c r="AD3" s="82"/>
    </row>
    <row r="4" spans="1:30" ht="34.950000000000003" customHeight="1" thickTop="1" x14ac:dyDescent="0.4">
      <c r="A4" s="83" t="s">
        <v>14</v>
      </c>
      <c r="B4" s="85" t="s">
        <v>28</v>
      </c>
      <c r="C4" s="85"/>
      <c r="D4" s="85" t="s">
        <v>71</v>
      </c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7" t="s">
        <v>15</v>
      </c>
      <c r="Q4" s="85" t="s">
        <v>17</v>
      </c>
      <c r="R4" s="85"/>
      <c r="S4" s="78" t="s">
        <v>27</v>
      </c>
      <c r="T4" s="78"/>
      <c r="U4" s="78"/>
      <c r="V4" s="78"/>
      <c r="W4" s="78"/>
      <c r="X4" s="78"/>
      <c r="Y4" s="78"/>
      <c r="Z4" s="78"/>
      <c r="AA4" s="78"/>
      <c r="AB4" s="78"/>
      <c r="AC4" s="78"/>
      <c r="AD4" s="79"/>
    </row>
    <row r="5" spans="1:30" ht="34.950000000000003" customHeight="1" x14ac:dyDescent="0.4">
      <c r="A5" s="84"/>
      <c r="B5" s="77" t="s">
        <v>40</v>
      </c>
      <c r="C5" s="77"/>
      <c r="D5" s="77" t="s">
        <v>73</v>
      </c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88"/>
      <c r="Q5" s="77" t="s">
        <v>40</v>
      </c>
      <c r="R5" s="77"/>
      <c r="S5" s="33" t="s">
        <v>21</v>
      </c>
      <c r="T5" s="34"/>
      <c r="U5" s="34"/>
      <c r="V5" s="34"/>
      <c r="W5" s="34"/>
      <c r="X5" s="34"/>
      <c r="Y5" s="44"/>
      <c r="Z5" s="33" t="s">
        <v>22</v>
      </c>
      <c r="AA5" s="44"/>
      <c r="AB5" s="33" t="s">
        <v>23</v>
      </c>
      <c r="AC5" s="34"/>
      <c r="AD5" s="34"/>
    </row>
    <row r="6" spans="1:30" ht="34.950000000000003" customHeight="1" x14ac:dyDescent="0.4">
      <c r="A6" s="84"/>
      <c r="B6" s="77" t="s">
        <v>18</v>
      </c>
      <c r="C6" s="77"/>
      <c r="D6" s="77" t="s">
        <v>74</v>
      </c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88"/>
      <c r="Q6" s="77" t="s">
        <v>18</v>
      </c>
      <c r="R6" s="77"/>
      <c r="S6" s="77" t="s">
        <v>24</v>
      </c>
      <c r="T6" s="77"/>
      <c r="U6" s="77"/>
      <c r="V6" s="77"/>
      <c r="W6" s="77"/>
      <c r="X6" s="77"/>
      <c r="Y6" s="77"/>
      <c r="Z6" s="77"/>
      <c r="AA6" s="77"/>
      <c r="AB6" s="77"/>
      <c r="AC6" s="77"/>
      <c r="AD6" s="33"/>
    </row>
    <row r="7" spans="1:30" ht="34.950000000000003" customHeight="1" x14ac:dyDescent="0.4">
      <c r="A7" s="84"/>
      <c r="B7" s="77" t="s">
        <v>19</v>
      </c>
      <c r="C7" s="77"/>
      <c r="D7" s="77" t="s">
        <v>76</v>
      </c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88"/>
      <c r="Q7" s="77" t="s">
        <v>19</v>
      </c>
      <c r="R7" s="77"/>
      <c r="S7" s="77" t="s">
        <v>25</v>
      </c>
      <c r="T7" s="77"/>
      <c r="U7" s="77"/>
      <c r="V7" s="77"/>
      <c r="W7" s="77"/>
      <c r="X7" s="77"/>
      <c r="Y7" s="77"/>
      <c r="Z7" s="77"/>
      <c r="AA7" s="77"/>
      <c r="AB7" s="77"/>
      <c r="AC7" s="77"/>
      <c r="AD7" s="33"/>
    </row>
    <row r="8" spans="1:30" ht="34.950000000000003" customHeight="1" x14ac:dyDescent="0.4">
      <c r="A8" s="84"/>
      <c r="B8" s="77" t="s">
        <v>20</v>
      </c>
      <c r="C8" s="77"/>
      <c r="D8" s="89" t="s">
        <v>75</v>
      </c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88"/>
      <c r="Q8" s="77" t="s">
        <v>20</v>
      </c>
      <c r="R8" s="77"/>
      <c r="S8" s="90" t="s">
        <v>26</v>
      </c>
      <c r="T8" s="77"/>
      <c r="U8" s="77"/>
      <c r="V8" s="77"/>
      <c r="W8" s="77"/>
      <c r="X8" s="77"/>
      <c r="Y8" s="77"/>
      <c r="Z8" s="77"/>
      <c r="AA8" s="77"/>
      <c r="AB8" s="77"/>
      <c r="AC8" s="77"/>
      <c r="AD8" s="33"/>
    </row>
    <row r="9" spans="1:30" ht="49.95" customHeight="1" thickBot="1" x14ac:dyDescent="0.45">
      <c r="A9" s="74" t="s">
        <v>12</v>
      </c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</row>
    <row r="10" spans="1:30" ht="34.950000000000003" customHeight="1" thickTop="1" x14ac:dyDescent="0.4">
      <c r="A10" s="64" t="s">
        <v>13</v>
      </c>
      <c r="B10" s="64"/>
      <c r="C10" s="64"/>
      <c r="D10" s="64"/>
      <c r="E10" s="64"/>
      <c r="F10" s="65"/>
      <c r="G10" s="75">
        <f>SUM(E23,T23)</f>
        <v>55000000</v>
      </c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</row>
    <row r="11" spans="1:30" ht="15" customHeight="1" thickBot="1" x14ac:dyDescent="0.45">
      <c r="A11" s="63"/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</row>
    <row r="12" spans="1:30" ht="34.950000000000003" customHeight="1" thickTop="1" x14ac:dyDescent="0.4">
      <c r="A12" s="64" t="s">
        <v>0</v>
      </c>
      <c r="B12" s="65"/>
      <c r="C12" s="66" t="s">
        <v>1</v>
      </c>
      <c r="D12" s="67"/>
      <c r="E12" s="68" t="s">
        <v>2</v>
      </c>
      <c r="F12" s="64"/>
      <c r="G12" s="64"/>
      <c r="H12" s="65"/>
      <c r="I12" s="68" t="s">
        <v>3</v>
      </c>
      <c r="J12" s="64"/>
      <c r="K12" s="64"/>
      <c r="L12" s="64"/>
      <c r="M12" s="64"/>
      <c r="N12" s="64"/>
      <c r="O12" s="64"/>
      <c r="P12" s="64"/>
      <c r="Q12" s="64"/>
      <c r="R12" s="64"/>
      <c r="S12" s="65"/>
      <c r="T12" s="69" t="s">
        <v>4</v>
      </c>
      <c r="U12" s="70"/>
      <c r="V12" s="71" t="s">
        <v>5</v>
      </c>
      <c r="W12" s="67"/>
      <c r="X12" s="64" t="s">
        <v>41</v>
      </c>
      <c r="Y12" s="64"/>
      <c r="Z12" s="65"/>
      <c r="AA12" s="72" t="s">
        <v>6</v>
      </c>
      <c r="AB12" s="73"/>
      <c r="AC12" s="73"/>
      <c r="AD12" s="73"/>
    </row>
    <row r="13" spans="1:30" ht="150" customHeight="1" x14ac:dyDescent="0.4">
      <c r="A13" s="57" t="s">
        <v>78</v>
      </c>
      <c r="B13" s="58"/>
      <c r="C13" s="57" t="s">
        <v>78</v>
      </c>
      <c r="D13" s="58"/>
      <c r="E13" s="33" t="s">
        <v>77</v>
      </c>
      <c r="F13" s="34"/>
      <c r="G13" s="34"/>
      <c r="H13" s="44"/>
      <c r="I13" s="45" t="s">
        <v>79</v>
      </c>
      <c r="J13" s="46"/>
      <c r="K13" s="46"/>
      <c r="L13" s="46"/>
      <c r="M13" s="46"/>
      <c r="N13" s="46"/>
      <c r="O13" s="46"/>
      <c r="P13" s="46"/>
      <c r="Q13" s="46"/>
      <c r="R13" s="46"/>
      <c r="S13" s="47"/>
      <c r="T13" s="48">
        <v>5</v>
      </c>
      <c r="U13" s="49"/>
      <c r="V13" s="50">
        <v>5</v>
      </c>
      <c r="W13" s="51"/>
      <c r="X13" s="41">
        <v>1000000</v>
      </c>
      <c r="Y13" s="41"/>
      <c r="Z13" s="42"/>
      <c r="AA13" s="43">
        <f>SUM(V13*X13)</f>
        <v>5000000</v>
      </c>
      <c r="AB13" s="41"/>
      <c r="AC13" s="41"/>
      <c r="AD13" s="41"/>
    </row>
    <row r="14" spans="1:30" ht="150" customHeight="1" x14ac:dyDescent="0.4">
      <c r="A14" s="59"/>
      <c r="B14" s="60"/>
      <c r="C14" s="59"/>
      <c r="D14" s="60"/>
      <c r="E14" s="33" t="s">
        <v>80</v>
      </c>
      <c r="F14" s="34"/>
      <c r="G14" s="34"/>
      <c r="H14" s="44"/>
      <c r="I14" s="45" t="s">
        <v>81</v>
      </c>
      <c r="J14" s="46"/>
      <c r="K14" s="46"/>
      <c r="L14" s="46"/>
      <c r="M14" s="46"/>
      <c r="N14" s="46"/>
      <c r="O14" s="46"/>
      <c r="P14" s="46"/>
      <c r="Q14" s="46"/>
      <c r="R14" s="46"/>
      <c r="S14" s="47"/>
      <c r="T14" s="48">
        <v>30</v>
      </c>
      <c r="U14" s="49"/>
      <c r="V14" s="50">
        <v>2</v>
      </c>
      <c r="W14" s="51"/>
      <c r="X14" s="41">
        <v>5000000</v>
      </c>
      <c r="Y14" s="41"/>
      <c r="Z14" s="42"/>
      <c r="AA14" s="43">
        <f>SUM(V14*X14)</f>
        <v>10000000</v>
      </c>
      <c r="AB14" s="41"/>
      <c r="AC14" s="41"/>
      <c r="AD14" s="41"/>
    </row>
    <row r="15" spans="1:30" ht="150" customHeight="1" x14ac:dyDescent="0.4">
      <c r="A15" s="59"/>
      <c r="B15" s="60"/>
      <c r="C15" s="59"/>
      <c r="D15" s="60"/>
      <c r="E15" s="33" t="s">
        <v>83</v>
      </c>
      <c r="F15" s="34"/>
      <c r="G15" s="34"/>
      <c r="H15" s="44"/>
      <c r="I15" s="45" t="s">
        <v>82</v>
      </c>
      <c r="J15" s="46"/>
      <c r="K15" s="46"/>
      <c r="L15" s="46"/>
      <c r="M15" s="46"/>
      <c r="N15" s="46"/>
      <c r="O15" s="46"/>
      <c r="P15" s="46"/>
      <c r="Q15" s="46"/>
      <c r="R15" s="46"/>
      <c r="S15" s="47"/>
      <c r="T15" s="48">
        <v>30</v>
      </c>
      <c r="U15" s="49"/>
      <c r="V15" s="50">
        <v>2</v>
      </c>
      <c r="W15" s="51"/>
      <c r="X15" s="41">
        <v>5000000</v>
      </c>
      <c r="Y15" s="41"/>
      <c r="Z15" s="42"/>
      <c r="AA15" s="43">
        <f>SUM(V15*X15)</f>
        <v>10000000</v>
      </c>
      <c r="AB15" s="41"/>
      <c r="AC15" s="41"/>
      <c r="AD15" s="41"/>
    </row>
    <row r="16" spans="1:30" ht="150" customHeight="1" x14ac:dyDescent="0.4">
      <c r="A16" s="59"/>
      <c r="B16" s="60"/>
      <c r="C16" s="59"/>
      <c r="D16" s="60"/>
      <c r="E16" s="33" t="s">
        <v>84</v>
      </c>
      <c r="F16" s="34"/>
      <c r="G16" s="34"/>
      <c r="H16" s="44"/>
      <c r="I16" s="45" t="s">
        <v>85</v>
      </c>
      <c r="J16" s="46"/>
      <c r="K16" s="46"/>
      <c r="L16" s="46"/>
      <c r="M16" s="46"/>
      <c r="N16" s="46"/>
      <c r="O16" s="46"/>
      <c r="P16" s="46"/>
      <c r="Q16" s="46"/>
      <c r="R16" s="46"/>
      <c r="S16" s="47"/>
      <c r="T16" s="48">
        <v>30</v>
      </c>
      <c r="U16" s="49"/>
      <c r="V16" s="50">
        <v>2</v>
      </c>
      <c r="W16" s="51"/>
      <c r="X16" s="41">
        <v>5000000</v>
      </c>
      <c r="Y16" s="41"/>
      <c r="Z16" s="42"/>
      <c r="AA16" s="43">
        <f>SUM(V16*X16)</f>
        <v>10000000</v>
      </c>
      <c r="AB16" s="41"/>
      <c r="AC16" s="41"/>
      <c r="AD16" s="41"/>
    </row>
    <row r="17" spans="1:30" ht="150" customHeight="1" x14ac:dyDescent="0.4">
      <c r="A17" s="61"/>
      <c r="B17" s="62"/>
      <c r="C17" s="61"/>
      <c r="D17" s="62"/>
      <c r="E17" s="33" t="s">
        <v>86</v>
      </c>
      <c r="F17" s="34"/>
      <c r="G17" s="34"/>
      <c r="H17" s="44"/>
      <c r="I17" s="45" t="s">
        <v>87</v>
      </c>
      <c r="J17" s="46"/>
      <c r="K17" s="46"/>
      <c r="L17" s="46"/>
      <c r="M17" s="46"/>
      <c r="N17" s="46"/>
      <c r="O17" s="46"/>
      <c r="P17" s="46"/>
      <c r="Q17" s="46"/>
      <c r="R17" s="46"/>
      <c r="S17" s="47"/>
      <c r="T17" s="48">
        <v>30</v>
      </c>
      <c r="U17" s="49"/>
      <c r="V17" s="50">
        <v>3</v>
      </c>
      <c r="W17" s="51"/>
      <c r="X17" s="41">
        <v>5000000</v>
      </c>
      <c r="Y17" s="41"/>
      <c r="Z17" s="42"/>
      <c r="AA17" s="43">
        <f>SUM(V17*X17)</f>
        <v>15000000</v>
      </c>
      <c r="AB17" s="41"/>
      <c r="AC17" s="41"/>
      <c r="AD17" s="41"/>
    </row>
    <row r="18" spans="1:30" ht="150" customHeight="1" x14ac:dyDescent="0.4">
      <c r="A18" s="57" t="s">
        <v>78</v>
      </c>
      <c r="B18" s="58"/>
      <c r="C18" s="57" t="s">
        <v>78</v>
      </c>
      <c r="D18" s="58"/>
      <c r="E18" s="33" t="s">
        <v>77</v>
      </c>
      <c r="F18" s="34"/>
      <c r="G18" s="34"/>
      <c r="H18" s="44"/>
      <c r="I18" s="45" t="s">
        <v>79</v>
      </c>
      <c r="J18" s="46"/>
      <c r="K18" s="46"/>
      <c r="L18" s="46"/>
      <c r="M18" s="46"/>
      <c r="N18" s="46"/>
      <c r="O18" s="46"/>
      <c r="P18" s="46"/>
      <c r="Q18" s="46"/>
      <c r="R18" s="46"/>
      <c r="S18" s="47"/>
      <c r="T18" s="48">
        <v>5</v>
      </c>
      <c r="U18" s="49"/>
      <c r="V18" s="50">
        <v>5</v>
      </c>
      <c r="W18" s="51"/>
      <c r="X18" s="41">
        <v>1000000</v>
      </c>
      <c r="Y18" s="41"/>
      <c r="Z18" s="42"/>
      <c r="AA18" s="43">
        <f>SUM(V18*X18)</f>
        <v>5000000</v>
      </c>
      <c r="AB18" s="41"/>
      <c r="AC18" s="41"/>
      <c r="AD18" s="41"/>
    </row>
    <row r="19" spans="1:30" ht="150" customHeight="1" x14ac:dyDescent="0.4">
      <c r="A19" s="59"/>
      <c r="B19" s="60"/>
      <c r="C19" s="59"/>
      <c r="D19" s="60"/>
      <c r="E19" s="33" t="s">
        <v>80</v>
      </c>
      <c r="F19" s="34"/>
      <c r="G19" s="34"/>
      <c r="H19" s="44"/>
      <c r="I19" s="45" t="s">
        <v>81</v>
      </c>
      <c r="J19" s="46"/>
      <c r="K19" s="46"/>
      <c r="L19" s="46"/>
      <c r="M19" s="46"/>
      <c r="N19" s="46"/>
      <c r="O19" s="46"/>
      <c r="P19" s="46"/>
      <c r="Q19" s="46"/>
      <c r="R19" s="46"/>
      <c r="S19" s="47"/>
      <c r="T19" s="48">
        <v>30</v>
      </c>
      <c r="U19" s="49"/>
      <c r="V19" s="50">
        <v>2</v>
      </c>
      <c r="W19" s="51"/>
      <c r="X19" s="41">
        <v>5000000</v>
      </c>
      <c r="Y19" s="41"/>
      <c r="Z19" s="42"/>
      <c r="AA19" s="43">
        <f>SUM(V19*X19)</f>
        <v>10000000</v>
      </c>
      <c r="AB19" s="41"/>
      <c r="AC19" s="41"/>
      <c r="AD19" s="41"/>
    </row>
    <row r="20" spans="1:30" ht="150" customHeight="1" x14ac:dyDescent="0.4">
      <c r="A20" s="59"/>
      <c r="B20" s="60"/>
      <c r="C20" s="59"/>
      <c r="D20" s="60"/>
      <c r="E20" s="33" t="s">
        <v>83</v>
      </c>
      <c r="F20" s="34"/>
      <c r="G20" s="34"/>
      <c r="H20" s="44"/>
      <c r="I20" s="45" t="s">
        <v>82</v>
      </c>
      <c r="J20" s="46"/>
      <c r="K20" s="46"/>
      <c r="L20" s="46"/>
      <c r="M20" s="46"/>
      <c r="N20" s="46"/>
      <c r="O20" s="46"/>
      <c r="P20" s="46"/>
      <c r="Q20" s="46"/>
      <c r="R20" s="46"/>
      <c r="S20" s="47"/>
      <c r="T20" s="48">
        <v>30</v>
      </c>
      <c r="U20" s="49"/>
      <c r="V20" s="50">
        <v>2</v>
      </c>
      <c r="W20" s="51"/>
      <c r="X20" s="41">
        <v>5000000</v>
      </c>
      <c r="Y20" s="41"/>
      <c r="Z20" s="42"/>
      <c r="AA20" s="43">
        <f>SUM(V20*X20)</f>
        <v>10000000</v>
      </c>
      <c r="AB20" s="41"/>
      <c r="AC20" s="41"/>
      <c r="AD20" s="41"/>
    </row>
    <row r="21" spans="1:30" ht="150" customHeight="1" x14ac:dyDescent="0.4">
      <c r="A21" s="59"/>
      <c r="B21" s="60"/>
      <c r="C21" s="59"/>
      <c r="D21" s="60"/>
      <c r="E21" s="33" t="s">
        <v>84</v>
      </c>
      <c r="F21" s="34"/>
      <c r="G21" s="34"/>
      <c r="H21" s="44"/>
      <c r="I21" s="45" t="s">
        <v>85</v>
      </c>
      <c r="J21" s="46"/>
      <c r="K21" s="46"/>
      <c r="L21" s="46"/>
      <c r="M21" s="46"/>
      <c r="N21" s="46"/>
      <c r="O21" s="46"/>
      <c r="P21" s="46"/>
      <c r="Q21" s="46"/>
      <c r="R21" s="46"/>
      <c r="S21" s="47"/>
      <c r="T21" s="48">
        <v>30</v>
      </c>
      <c r="U21" s="49"/>
      <c r="V21" s="50">
        <v>2</v>
      </c>
      <c r="W21" s="51"/>
      <c r="X21" s="41">
        <v>5000000</v>
      </c>
      <c r="Y21" s="41"/>
      <c r="Z21" s="42"/>
      <c r="AA21" s="43">
        <f>SUM(V21*X21)</f>
        <v>10000000</v>
      </c>
      <c r="AB21" s="41"/>
      <c r="AC21" s="41"/>
      <c r="AD21" s="41"/>
    </row>
    <row r="22" spans="1:30" ht="150" customHeight="1" x14ac:dyDescent="0.4">
      <c r="A22" s="61"/>
      <c r="B22" s="62"/>
      <c r="C22" s="61"/>
      <c r="D22" s="62"/>
      <c r="E22" s="33" t="s">
        <v>86</v>
      </c>
      <c r="F22" s="34"/>
      <c r="G22" s="34"/>
      <c r="H22" s="44"/>
      <c r="I22" s="45" t="s">
        <v>87</v>
      </c>
      <c r="J22" s="46"/>
      <c r="K22" s="46"/>
      <c r="L22" s="46"/>
      <c r="M22" s="46"/>
      <c r="N22" s="46"/>
      <c r="O22" s="46"/>
      <c r="P22" s="46"/>
      <c r="Q22" s="46"/>
      <c r="R22" s="46"/>
      <c r="S22" s="47"/>
      <c r="T22" s="48">
        <v>30</v>
      </c>
      <c r="U22" s="49"/>
      <c r="V22" s="50">
        <v>3</v>
      </c>
      <c r="W22" s="51"/>
      <c r="X22" s="41">
        <v>5000000</v>
      </c>
      <c r="Y22" s="41"/>
      <c r="Z22" s="42"/>
      <c r="AA22" s="43">
        <f>SUM(V22*X22)</f>
        <v>15000000</v>
      </c>
      <c r="AB22" s="41"/>
      <c r="AC22" s="41"/>
      <c r="AD22" s="41"/>
    </row>
    <row r="23" spans="1:30" ht="34.950000000000003" customHeight="1" x14ac:dyDescent="0.4">
      <c r="A23" s="52" t="s">
        <v>8</v>
      </c>
      <c r="B23" s="52"/>
      <c r="C23" s="52"/>
      <c r="D23" s="52"/>
      <c r="E23" s="53">
        <f>SUM(T23*0.1)</f>
        <v>5000000</v>
      </c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4" t="s">
        <v>7</v>
      </c>
      <c r="Q23" s="54"/>
      <c r="R23" s="54"/>
      <c r="S23" s="54"/>
      <c r="T23" s="55">
        <f>SUM(AA13:AD22)</f>
        <v>50000000</v>
      </c>
      <c r="U23" s="56"/>
      <c r="V23" s="56"/>
      <c r="W23" s="56"/>
      <c r="X23" s="56"/>
      <c r="Y23" s="56"/>
      <c r="Z23" s="56"/>
      <c r="AA23" s="56"/>
      <c r="AB23" s="56"/>
      <c r="AC23" s="56"/>
      <c r="AD23" s="56"/>
    </row>
    <row r="24" spans="1:30" ht="34.950000000000003" customHeight="1" x14ac:dyDescent="0.4">
      <c r="A24" s="31" t="s">
        <v>9</v>
      </c>
      <c r="B24" s="31"/>
      <c r="C24" s="31"/>
      <c r="D24" s="32"/>
      <c r="E24" s="33" t="s">
        <v>35</v>
      </c>
      <c r="F24" s="34"/>
      <c r="G24" s="34"/>
      <c r="H24" s="34"/>
      <c r="I24" s="34"/>
      <c r="J24" s="34"/>
      <c r="K24" s="35" t="s">
        <v>10</v>
      </c>
      <c r="L24" s="31"/>
      <c r="M24" s="31"/>
      <c r="N24" s="32"/>
      <c r="O24" s="36" t="str">
        <f>IF(E24="국민은행 [A]", "830501-04-224154", IF(E24="국민은행 [B]", "97112978846", IF(E24="우리은행", "1005-104-299487", IF(E24="기업은행", "052-111285-04-020", IF(E24="신한은행", "140-013-733156", "X")))))</f>
        <v>97112978846</v>
      </c>
      <c r="P24" s="36"/>
      <c r="Q24" s="36"/>
      <c r="R24" s="36"/>
      <c r="S24" s="36"/>
      <c r="T24" s="36"/>
      <c r="U24" s="35" t="s">
        <v>11</v>
      </c>
      <c r="V24" s="31"/>
      <c r="W24" s="31"/>
      <c r="X24" s="32"/>
      <c r="Y24" s="33" t="s">
        <v>21</v>
      </c>
      <c r="Z24" s="34"/>
      <c r="AA24" s="34"/>
      <c r="AB24" s="34"/>
      <c r="AC24" s="34"/>
      <c r="AD24" s="34"/>
    </row>
    <row r="25" spans="1:30" ht="15" customHeight="1" thickBot="1" x14ac:dyDescent="0.45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</row>
    <row r="26" spans="1:30" ht="25.05" customHeight="1" thickTop="1" x14ac:dyDescent="0.4">
      <c r="A26" s="28" t="s">
        <v>43</v>
      </c>
      <c r="B26" s="38" t="s">
        <v>37</v>
      </c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9"/>
    </row>
    <row r="27" spans="1:30" ht="25.05" customHeight="1" x14ac:dyDescent="0.4">
      <c r="A27" s="32"/>
      <c r="B27" s="24" t="s">
        <v>38</v>
      </c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5"/>
    </row>
    <row r="28" spans="1:30" ht="25.05" customHeight="1" x14ac:dyDescent="0.4">
      <c r="A28" s="32"/>
      <c r="B28" s="24" t="s">
        <v>39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5"/>
    </row>
    <row r="29" spans="1:30" ht="25.05" customHeight="1" x14ac:dyDescent="0.4">
      <c r="A29" s="32"/>
      <c r="B29" s="24" t="s">
        <v>69</v>
      </c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5"/>
    </row>
    <row r="30" spans="1:30" ht="25.05" customHeight="1" x14ac:dyDescent="0.4">
      <c r="A30" s="32"/>
      <c r="B30" s="24" t="s">
        <v>61</v>
      </c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5"/>
    </row>
    <row r="31" spans="1:30" ht="25.05" customHeight="1" x14ac:dyDescent="0.4">
      <c r="A31" s="32"/>
      <c r="B31" s="25" t="s">
        <v>70</v>
      </c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</row>
    <row r="32" spans="1:30" ht="25.05" customHeight="1" x14ac:dyDescent="0.4">
      <c r="A32" s="32"/>
      <c r="B32" s="24" t="s">
        <v>62</v>
      </c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5"/>
    </row>
    <row r="33" spans="1:30" ht="25.05" customHeight="1" x14ac:dyDescent="0.4">
      <c r="A33" s="32"/>
      <c r="B33" s="24" t="s">
        <v>63</v>
      </c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5"/>
    </row>
    <row r="34" spans="1:30" ht="25.05" customHeight="1" x14ac:dyDescent="0.4">
      <c r="A34" s="32"/>
      <c r="B34" s="24" t="s">
        <v>64</v>
      </c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5"/>
    </row>
    <row r="35" spans="1:30" ht="25.05" customHeight="1" x14ac:dyDescent="0.4">
      <c r="A35" s="32"/>
      <c r="B35" s="24" t="s">
        <v>65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5"/>
    </row>
    <row r="36" spans="1:30" s="5" customFormat="1" ht="15" hidden="1" customHeight="1" thickBot="1" x14ac:dyDescent="0.45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</row>
    <row r="37" spans="1:30" s="5" customFormat="1" ht="25.05" hidden="1" customHeight="1" thickTop="1" x14ac:dyDescent="0.4">
      <c r="A37" s="20" t="s">
        <v>42</v>
      </c>
      <c r="B37" s="29" t="s">
        <v>44</v>
      </c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30"/>
    </row>
    <row r="38" spans="1:30" s="5" customFormat="1" ht="25.05" hidden="1" customHeight="1" x14ac:dyDescent="0.4">
      <c r="A38" s="27"/>
      <c r="B38" s="24" t="s">
        <v>58</v>
      </c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5"/>
    </row>
    <row r="39" spans="1:30" s="5" customFormat="1" ht="25.05" hidden="1" customHeight="1" x14ac:dyDescent="0.4">
      <c r="A39" s="27"/>
      <c r="B39" s="24" t="s">
        <v>45</v>
      </c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5"/>
    </row>
    <row r="40" spans="1:30" s="5" customFormat="1" ht="25.05" hidden="1" customHeight="1" x14ac:dyDescent="0.4">
      <c r="A40" s="27"/>
      <c r="B40" s="24" t="s">
        <v>46</v>
      </c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5"/>
    </row>
    <row r="41" spans="1:30" s="5" customFormat="1" ht="25.05" hidden="1" customHeight="1" x14ac:dyDescent="0.4">
      <c r="A41" s="27"/>
      <c r="B41" s="24" t="s">
        <v>47</v>
      </c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5"/>
    </row>
    <row r="42" spans="1:30" s="5" customFormat="1" ht="25.05" hidden="1" customHeight="1" x14ac:dyDescent="0.4">
      <c r="A42" s="28"/>
      <c r="B42" s="24" t="s">
        <v>48</v>
      </c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5"/>
    </row>
    <row r="43" spans="1:30" s="5" customFormat="1" ht="15" hidden="1" customHeight="1" x14ac:dyDescent="0.4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spans="1:30" s="5" customFormat="1" ht="30" hidden="1" customHeight="1" thickBot="1" x14ac:dyDescent="0.45">
      <c r="A44" s="18" t="s">
        <v>68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</row>
    <row r="45" spans="1:30" s="5" customFormat="1" ht="25.05" hidden="1" customHeight="1" thickTop="1" x14ac:dyDescent="0.4">
      <c r="A45" s="19" t="s">
        <v>49</v>
      </c>
      <c r="B45" s="19"/>
      <c r="C45" s="19"/>
      <c r="D45" s="19"/>
      <c r="E45" s="20"/>
      <c r="F45" s="21" t="s">
        <v>53</v>
      </c>
      <c r="G45" s="22"/>
      <c r="H45" s="22"/>
      <c r="I45" s="22"/>
      <c r="J45" s="23"/>
      <c r="K45" s="22" t="s">
        <v>54</v>
      </c>
      <c r="L45" s="22"/>
      <c r="M45" s="22"/>
      <c r="N45" s="22"/>
      <c r="O45" s="23"/>
      <c r="P45" s="22" t="s">
        <v>50</v>
      </c>
      <c r="Q45" s="22"/>
      <c r="R45" s="22"/>
      <c r="S45" s="22"/>
      <c r="T45" s="23"/>
      <c r="U45" s="21" t="s">
        <v>51</v>
      </c>
      <c r="V45" s="22"/>
      <c r="W45" s="22"/>
      <c r="X45" s="22"/>
      <c r="Y45" s="23"/>
      <c r="Z45" s="19" t="s">
        <v>52</v>
      </c>
      <c r="AA45" s="19"/>
      <c r="AB45" s="19"/>
      <c r="AC45" s="19"/>
      <c r="AD45" s="19"/>
    </row>
    <row r="46" spans="1:30" s="5" customFormat="1" ht="25.05" hidden="1" customHeight="1" x14ac:dyDescent="0.4">
      <c r="A46" s="9" t="s">
        <v>59</v>
      </c>
      <c r="B46" s="9"/>
      <c r="C46" s="9"/>
      <c r="D46" s="9"/>
      <c r="E46" s="10"/>
      <c r="F46" s="12">
        <v>463265</v>
      </c>
      <c r="G46" s="12"/>
      <c r="H46" s="12"/>
      <c r="I46" s="12"/>
      <c r="J46" s="13"/>
      <c r="K46" s="11">
        <v>9543259</v>
      </c>
      <c r="L46" s="12"/>
      <c r="M46" s="12"/>
      <c r="N46" s="12"/>
      <c r="O46" s="13"/>
      <c r="P46" s="11">
        <f>SUM(K46*1.1)</f>
        <v>10497584.9</v>
      </c>
      <c r="Q46" s="12"/>
      <c r="R46" s="12"/>
      <c r="S46" s="12"/>
      <c r="T46" s="13"/>
      <c r="U46" s="11" cm="1">
        <f t="array" ref="U46">SUM(K46:T46*0.2)</f>
        <v>4008168.7800000003</v>
      </c>
      <c r="V46" s="12"/>
      <c r="W46" s="12"/>
      <c r="X46" s="12"/>
      <c r="Y46" s="13"/>
      <c r="Z46" s="12">
        <f>SUM(F46:Y46)</f>
        <v>24512277.68</v>
      </c>
      <c r="AA46" s="12"/>
      <c r="AB46" s="12"/>
      <c r="AC46" s="12"/>
      <c r="AD46" s="12"/>
    </row>
    <row r="47" spans="1:30" s="5" customFormat="1" ht="25.05" hidden="1" customHeight="1" x14ac:dyDescent="0.4">
      <c r="A47" s="16" t="s">
        <v>56</v>
      </c>
      <c r="B47" s="16"/>
      <c r="C47" s="16"/>
      <c r="D47" s="16"/>
      <c r="E47" s="17"/>
      <c r="F47" s="11">
        <v>291414</v>
      </c>
      <c r="G47" s="12"/>
      <c r="H47" s="12"/>
      <c r="I47" s="12"/>
      <c r="J47" s="13"/>
      <c r="K47" s="11">
        <v>6003128</v>
      </c>
      <c r="L47" s="12"/>
      <c r="M47" s="12"/>
      <c r="N47" s="12"/>
      <c r="O47" s="13"/>
      <c r="P47" s="11">
        <f>SUM(K47*1.1)</f>
        <v>6603440.8000000007</v>
      </c>
      <c r="Q47" s="12"/>
      <c r="R47" s="12"/>
      <c r="S47" s="12"/>
      <c r="T47" s="13"/>
      <c r="U47" s="11" cm="1">
        <f t="array" ref="U47">SUM(K47:T47*0.2)</f>
        <v>2521313.7600000002</v>
      </c>
      <c r="V47" s="12"/>
      <c r="W47" s="12"/>
      <c r="X47" s="12"/>
      <c r="Y47" s="12"/>
      <c r="Z47" s="11">
        <f t="shared" ref="Z47:Z49" si="1">SUM(F47:Y47)</f>
        <v>15419296.560000001</v>
      </c>
      <c r="AA47" s="12"/>
      <c r="AB47" s="12"/>
      <c r="AC47" s="12"/>
      <c r="AD47" s="12"/>
    </row>
    <row r="48" spans="1:30" s="5" customFormat="1" ht="25.05" hidden="1" customHeight="1" x14ac:dyDescent="0.4">
      <c r="A48" s="14" t="s">
        <v>57</v>
      </c>
      <c r="B48" s="14"/>
      <c r="C48" s="14"/>
      <c r="D48" s="14"/>
      <c r="E48" s="15"/>
      <c r="F48" s="11">
        <v>291414</v>
      </c>
      <c r="G48" s="12"/>
      <c r="H48" s="12"/>
      <c r="I48" s="12"/>
      <c r="J48" s="13"/>
      <c r="K48" s="11">
        <v>6003128</v>
      </c>
      <c r="L48" s="12"/>
      <c r="M48" s="12"/>
      <c r="N48" s="12"/>
      <c r="O48" s="13"/>
      <c r="P48" s="11">
        <f>SUM(K48*1.1)</f>
        <v>6603440.8000000007</v>
      </c>
      <c r="Q48" s="12"/>
      <c r="R48" s="12"/>
      <c r="S48" s="12"/>
      <c r="T48" s="13"/>
      <c r="U48" s="11" cm="1">
        <f t="array" ref="U48">SUM(K48:T48*0.2)</f>
        <v>2521313.7600000002</v>
      </c>
      <c r="V48" s="12"/>
      <c r="W48" s="12"/>
      <c r="X48" s="12"/>
      <c r="Y48" s="12"/>
      <c r="Z48" s="11">
        <f t="shared" si="1"/>
        <v>15419296.560000001</v>
      </c>
      <c r="AA48" s="12"/>
      <c r="AB48" s="12"/>
      <c r="AC48" s="12"/>
      <c r="AD48" s="12"/>
    </row>
    <row r="49" spans="1:30" s="5" customFormat="1" ht="25.05" hidden="1" customHeight="1" x14ac:dyDescent="0.4">
      <c r="A49" s="9" t="s">
        <v>55</v>
      </c>
      <c r="B49" s="9"/>
      <c r="C49" s="9"/>
      <c r="D49" s="9"/>
      <c r="E49" s="10"/>
      <c r="F49" s="11">
        <v>217843</v>
      </c>
      <c r="G49" s="12"/>
      <c r="H49" s="12"/>
      <c r="I49" s="12"/>
      <c r="J49" s="13"/>
      <c r="K49" s="11">
        <v>4487566</v>
      </c>
      <c r="L49" s="12"/>
      <c r="M49" s="12"/>
      <c r="N49" s="12"/>
      <c r="O49" s="13"/>
      <c r="P49" s="11">
        <f>SUM(K49*1.1)</f>
        <v>4936322.6000000006</v>
      </c>
      <c r="Q49" s="12"/>
      <c r="R49" s="12"/>
      <c r="S49" s="12"/>
      <c r="T49" s="13"/>
      <c r="U49" s="11" cm="1">
        <f t="array" ref="U49">SUM(K49:T49*0.2)</f>
        <v>1884777.7200000002</v>
      </c>
      <c r="V49" s="12"/>
      <c r="W49" s="12"/>
      <c r="X49" s="12"/>
      <c r="Y49" s="12"/>
      <c r="Z49" s="11">
        <f t="shared" si="1"/>
        <v>11526509.320000002</v>
      </c>
      <c r="AA49" s="12"/>
      <c r="AB49" s="12"/>
      <c r="AC49" s="12"/>
      <c r="AD49" s="12"/>
    </row>
    <row r="50" spans="1:30" ht="15" customHeight="1" thickBot="1" x14ac:dyDescent="0.45">
      <c r="AA50" s="6"/>
    </row>
    <row r="51" spans="1:30" ht="2.5499999999999998" customHeight="1" x14ac:dyDescent="0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100.05" customHeight="1" x14ac:dyDescent="0.4">
      <c r="A52" s="7" t="s">
        <v>29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spans="1:30" ht="19.95" customHeight="1" x14ac:dyDescent="0.4"/>
    <row r="54" ht="19.95" customHeight="1" x14ac:dyDescent="0.4"/>
    <row r="55" ht="19.95" customHeight="1" x14ac:dyDescent="0.4"/>
    <row r="56" ht="19.95" customHeight="1" x14ac:dyDescent="0.4"/>
    <row r="57" ht="19.95" customHeight="1" x14ac:dyDescent="0.4"/>
    <row r="58" ht="19.95" customHeight="1" x14ac:dyDescent="0.4"/>
    <row r="59" ht="19.95" customHeight="1" x14ac:dyDescent="0.4"/>
  </sheetData>
  <dataConsolidate/>
  <mergeCells count="167">
    <mergeCell ref="I21:S21"/>
    <mergeCell ref="T19:U19"/>
    <mergeCell ref="T20:U20"/>
    <mergeCell ref="T21:U21"/>
    <mergeCell ref="V19:W19"/>
    <mergeCell ref="V20:W20"/>
    <mergeCell ref="V21:W21"/>
    <mergeCell ref="X19:Z19"/>
    <mergeCell ref="AA19:AD19"/>
    <mergeCell ref="X20:Z20"/>
    <mergeCell ref="AA20:AD20"/>
    <mergeCell ref="X21:Z21"/>
    <mergeCell ref="AA21:AD21"/>
    <mergeCell ref="T22:U22"/>
    <mergeCell ref="AA22:AD22"/>
    <mergeCell ref="T18:U18"/>
    <mergeCell ref="V18:W18"/>
    <mergeCell ref="V22:W22"/>
    <mergeCell ref="X18:Z18"/>
    <mergeCell ref="X22:Z22"/>
    <mergeCell ref="E18:H18"/>
    <mergeCell ref="E22:H22"/>
    <mergeCell ref="AA18:AD18"/>
    <mergeCell ref="A18:B22"/>
    <mergeCell ref="C18:D22"/>
    <mergeCell ref="I18:S18"/>
    <mergeCell ref="I22:S22"/>
    <mergeCell ref="E19:H19"/>
    <mergeCell ref="E20:H20"/>
    <mergeCell ref="E21:H21"/>
    <mergeCell ref="I19:S19"/>
    <mergeCell ref="I20:S20"/>
    <mergeCell ref="I16:S16"/>
    <mergeCell ref="T14:U14"/>
    <mergeCell ref="T15:U15"/>
    <mergeCell ref="T16:U16"/>
    <mergeCell ref="V14:W14"/>
    <mergeCell ref="V15:W15"/>
    <mergeCell ref="V16:W16"/>
    <mergeCell ref="X14:Z14"/>
    <mergeCell ref="AA14:AD14"/>
    <mergeCell ref="X15:Z15"/>
    <mergeCell ref="AA15:AD15"/>
    <mergeCell ref="X16:Z16"/>
    <mergeCell ref="AA16:AD16"/>
    <mergeCell ref="A9:AD9"/>
    <mergeCell ref="A10:F10"/>
    <mergeCell ref="V12:W12"/>
    <mergeCell ref="X12:Z12"/>
    <mergeCell ref="G10:AD10"/>
    <mergeCell ref="E12:H12"/>
    <mergeCell ref="A11:AD11"/>
    <mergeCell ref="A12:B12"/>
    <mergeCell ref="C12:D12"/>
    <mergeCell ref="T12:U12"/>
    <mergeCell ref="AA12:AD12"/>
    <mergeCell ref="I12:S12"/>
    <mergeCell ref="A1:AD1"/>
    <mergeCell ref="A2:AD2"/>
    <mergeCell ref="P4:P8"/>
    <mergeCell ref="Q4:R4"/>
    <mergeCell ref="Q5:R5"/>
    <mergeCell ref="Q6:R6"/>
    <mergeCell ref="Q7:R7"/>
    <mergeCell ref="Q8:R8"/>
    <mergeCell ref="B4:C4"/>
    <mergeCell ref="B5:C5"/>
    <mergeCell ref="B6:C6"/>
    <mergeCell ref="B7:C7"/>
    <mergeCell ref="S4:AD4"/>
    <mergeCell ref="S6:AD6"/>
    <mergeCell ref="S7:AD7"/>
    <mergeCell ref="S8:AD8"/>
    <mergeCell ref="A3:U3"/>
    <mergeCell ref="A4:A8"/>
    <mergeCell ref="D4:O4"/>
    <mergeCell ref="D5:O5"/>
    <mergeCell ref="D6:O6"/>
    <mergeCell ref="D7:O7"/>
    <mergeCell ref="D8:O8"/>
    <mergeCell ref="B8:C8"/>
    <mergeCell ref="T23:AD23"/>
    <mergeCell ref="A24:D24"/>
    <mergeCell ref="A23:D23"/>
    <mergeCell ref="P23:S23"/>
    <mergeCell ref="T17:U17"/>
    <mergeCell ref="AA17:AD17"/>
    <mergeCell ref="T13:U13"/>
    <mergeCell ref="V13:W13"/>
    <mergeCell ref="V17:W17"/>
    <mergeCell ref="X13:Z13"/>
    <mergeCell ref="X17:Z17"/>
    <mergeCell ref="E13:H13"/>
    <mergeCell ref="E17:H17"/>
    <mergeCell ref="AA13:AD13"/>
    <mergeCell ref="A13:B17"/>
    <mergeCell ref="C13:D17"/>
    <mergeCell ref="I13:S13"/>
    <mergeCell ref="I17:S17"/>
    <mergeCell ref="E14:H14"/>
    <mergeCell ref="E15:H15"/>
    <mergeCell ref="E16:H16"/>
    <mergeCell ref="I14:S14"/>
    <mergeCell ref="I15:S15"/>
    <mergeCell ref="E24:J24"/>
    <mergeCell ref="K24:N24"/>
    <mergeCell ref="O24:T24"/>
    <mergeCell ref="U24:X24"/>
    <mergeCell ref="Y24:AD24"/>
    <mergeCell ref="B32:AD32"/>
    <mergeCell ref="B33:AD33"/>
    <mergeCell ref="A52:AD52"/>
    <mergeCell ref="AB3:AD3"/>
    <mergeCell ref="Z3:AA3"/>
    <mergeCell ref="A25:AD25"/>
    <mergeCell ref="S5:Y5"/>
    <mergeCell ref="Z5:AA5"/>
    <mergeCell ref="AB5:AD5"/>
    <mergeCell ref="A26:A35"/>
    <mergeCell ref="B26:AD26"/>
    <mergeCell ref="B27:AD27"/>
    <mergeCell ref="B28:AD28"/>
    <mergeCell ref="B29:AD29"/>
    <mergeCell ref="B30:AD30"/>
    <mergeCell ref="B31:AD31"/>
    <mergeCell ref="B34:AD34"/>
    <mergeCell ref="B35:AD35"/>
    <mergeCell ref="E23:O23"/>
    <mergeCell ref="Z45:AD45"/>
    <mergeCell ref="A46:E46"/>
    <mergeCell ref="F46:J46"/>
    <mergeCell ref="K46:O46"/>
    <mergeCell ref="P46:T46"/>
    <mergeCell ref="U46:Y46"/>
    <mergeCell ref="Z46:AD46"/>
    <mergeCell ref="A36:AD36"/>
    <mergeCell ref="A37:A42"/>
    <mergeCell ref="B37:AD37"/>
    <mergeCell ref="B38:AD38"/>
    <mergeCell ref="B39:AD39"/>
    <mergeCell ref="B40:AD40"/>
    <mergeCell ref="B41:AD41"/>
    <mergeCell ref="B42:AD42"/>
    <mergeCell ref="A44:AD44"/>
    <mergeCell ref="A45:E45"/>
    <mergeCell ref="F45:J45"/>
    <mergeCell ref="K45:O45"/>
    <mergeCell ref="P45:T45"/>
    <mergeCell ref="U45:Y45"/>
    <mergeCell ref="Z47:AD47"/>
    <mergeCell ref="Z48:AD48"/>
    <mergeCell ref="Z49:AD49"/>
    <mergeCell ref="P47:T47"/>
    <mergeCell ref="P48:T48"/>
    <mergeCell ref="P49:T49"/>
    <mergeCell ref="K47:O47"/>
    <mergeCell ref="K48:O48"/>
    <mergeCell ref="K49:O49"/>
    <mergeCell ref="F47:J47"/>
    <mergeCell ref="F48:J48"/>
    <mergeCell ref="F49:J49"/>
    <mergeCell ref="A47:E47"/>
    <mergeCell ref="A48:E48"/>
    <mergeCell ref="A49:E49"/>
    <mergeCell ref="U47:Y47"/>
    <mergeCell ref="U48:Y48"/>
    <mergeCell ref="U49:Y49"/>
  </mergeCells>
  <phoneticPr fontId="1" type="noConversion"/>
  <hyperlinks>
    <hyperlink ref="S8" r:id="rId1" xr:uid="{6ACB9A04-AFFD-4091-A811-41C3B13D8EB0}"/>
    <hyperlink ref="D8" r:id="rId2" xr:uid="{C5C5721A-7012-42DD-A81C-E529F64D0362}"/>
  </hyperlinks>
  <pageMargins left="0.7" right="0.7" top="0.75" bottom="0.75" header="0.3" footer="0.3"/>
  <pageSetup paperSize="9" scale="45" orientation="portrait" r:id="rId3"/>
  <headerFooter>
    <oddHeader>&amp;C
&amp;G</oddHeader>
  </headerFooter>
  <drawing r:id="rId4"/>
  <legacyDrawingHF r:id="rId5"/>
  <picture r:id="rId6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BF0B43A-77D2-4D33-B165-9F989CF5C08F}">
          <x14:formula1>
            <xm:f>데이터!$A$2:$A$6</xm:f>
          </x14:formula1>
          <xm:sqref>E19</xm:sqref>
        </x14:dataValidation>
        <x14:dataValidation type="list" allowBlank="1" showInputMessage="1" showErrorMessage="1" xr:uid="{D8978813-32AE-4812-AAF2-26A1CF35A6B4}">
          <x14:formula1>
            <xm:f>데이터!$C$2:$C$4</xm:f>
          </x14:formula1>
          <xm:sqref>B30:AD30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8B388-2789-4354-8614-16D7203BB153}">
  <dimension ref="A2:C6"/>
  <sheetViews>
    <sheetView workbookViewId="0">
      <selection activeCell="I13" sqref="I13"/>
    </sheetView>
  </sheetViews>
  <sheetFormatPr defaultColWidth="8.796875" defaultRowHeight="17.399999999999999" x14ac:dyDescent="0.4"/>
  <sheetData>
    <row r="2" spans="1:3" x14ac:dyDescent="0.4">
      <c r="A2" t="s">
        <v>34</v>
      </c>
      <c r="C2" t="s">
        <v>60</v>
      </c>
    </row>
    <row r="3" spans="1:3" x14ac:dyDescent="0.4">
      <c r="A3" t="s">
        <v>36</v>
      </c>
      <c r="C3" t="s">
        <v>66</v>
      </c>
    </row>
    <row r="4" spans="1:3" x14ac:dyDescent="0.4">
      <c r="A4" t="s">
        <v>31</v>
      </c>
      <c r="C4" t="s">
        <v>67</v>
      </c>
    </row>
    <row r="5" spans="1:3" x14ac:dyDescent="0.4">
      <c r="A5" t="s">
        <v>32</v>
      </c>
    </row>
    <row r="6" spans="1:3" x14ac:dyDescent="0.4">
      <c r="A6" t="s">
        <v>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5</vt:i4>
      </vt:variant>
    </vt:vector>
  </HeadingPairs>
  <TitlesOfParts>
    <vt:vector size="11" baseType="lpstr">
      <vt:lpstr>시장성테스트</vt:lpstr>
      <vt:lpstr>FGI</vt:lpstr>
      <vt:lpstr>사용성테스트</vt:lpstr>
      <vt:lpstr>기술성테스트</vt:lpstr>
      <vt:lpstr>견적서</vt:lpstr>
      <vt:lpstr>데이터</vt:lpstr>
      <vt:lpstr>FGI!Print_Area</vt:lpstr>
      <vt:lpstr>견적서!Print_Area</vt:lpstr>
      <vt:lpstr>기술성테스트!Print_Area</vt:lpstr>
      <vt:lpstr>사용성테스트!Print_Area</vt:lpstr>
      <vt:lpstr>시장성테스트!Print_Area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Yeongryul KIM</dc:creator>
  <cp:lastModifiedBy>송 영민</cp:lastModifiedBy>
  <cp:lastPrinted>2024-07-24T07:54:50Z</cp:lastPrinted>
  <dcterms:created xsi:type="dcterms:W3CDTF">2023-03-06T15:31:47Z</dcterms:created>
  <dcterms:modified xsi:type="dcterms:W3CDTF">2024-07-24T08:13:27Z</dcterms:modified>
</cp:coreProperties>
</file>